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I TRAN\Documents\Github_project\Project 2_DCF_Monte Carlo simulation\"/>
    </mc:Choice>
  </mc:AlternateContent>
  <xr:revisionPtr revIDLastSave="0" documentId="13_ncr:1_{6A8BED37-E8EC-44DE-8AD9-70CF41578D33}" xr6:coauthVersionLast="47" xr6:coauthVersionMax="47" xr10:uidLastSave="{00000000-0000-0000-0000-000000000000}"/>
  <bookViews>
    <workbookView xWindow="-110" yWindow="-110" windowWidth="19420" windowHeight="11500" xr2:uid="{BFD15DB7-A2C0-4469-A8A1-B22238BF841F}"/>
  </bookViews>
  <sheets>
    <sheet name="Dashboard" sheetId="3" r:id="rId1"/>
    <sheet name="Calculations" sheetId="2" r:id="rId2"/>
    <sheet name="Data_dump" sheetId="1" r:id="rId3"/>
  </sheets>
  <definedNames>
    <definedName name="Rev_growth_rate">Calculations!$C$7</definedName>
    <definedName name="Scenario_selection">Dashboard!$B$11</definedName>
    <definedName name="Terminal_growth_rate">Calculations!$C$8</definedName>
    <definedName name="Ticker_input">Dashboard!$B$1</definedName>
    <definedName name="Ticker_symbol">Dashboard!$B$1</definedName>
    <definedName name="WACC_Adj">Calculations!$C$9</definedName>
    <definedName name="WACC_adjustment">Calculations!$C$9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2" l="1" a="1"/>
  <c r="C20" i="2" s="1"/>
  <c r="C38" i="2"/>
  <c r="C39" i="2"/>
  <c r="C32" i="2"/>
  <c r="C42" i="2"/>
  <c r="C31" i="2"/>
  <c r="C30" i="2"/>
  <c r="C18" i="2" a="1"/>
  <c r="C18" i="2" s="1"/>
  <c r="C28" i="2"/>
  <c r="C29" i="2" s="1"/>
  <c r="C26" i="2"/>
  <c r="C19" i="2" a="1"/>
  <c r="C19" i="2" s="1"/>
  <c r="C17" i="2" a="1"/>
  <c r="C17" i="2" s="1"/>
  <c r="C13" i="2"/>
  <c r="C12" i="2"/>
  <c r="C4" i="2"/>
  <c r="C3" i="2"/>
  <c r="D26" i="2" l="1"/>
  <c r="C33" i="2"/>
  <c r="C11" i="2"/>
  <c r="C14" i="2"/>
  <c r="C15" i="2" l="1"/>
  <c r="D32" i="2"/>
  <c r="E26" i="2"/>
  <c r="D28" i="2"/>
  <c r="D30" i="2"/>
  <c r="D31" i="2"/>
  <c r="E28" i="2" l="1"/>
  <c r="E30" i="2"/>
  <c r="E31" i="2"/>
  <c r="E32" i="2"/>
  <c r="F26" i="2"/>
  <c r="D29" i="2"/>
  <c r="D33" i="2" s="1"/>
  <c r="D35" i="2" s="1"/>
  <c r="F28" i="2" l="1"/>
  <c r="F29" i="2" s="1"/>
  <c r="F30" i="2"/>
  <c r="F31" i="2"/>
  <c r="F32" i="2"/>
  <c r="G26" i="2"/>
  <c r="G28" i="2" s="1"/>
  <c r="E29" i="2"/>
  <c r="E33" i="2" s="1"/>
  <c r="E35" i="2" s="1"/>
  <c r="F33" i="2" l="1"/>
  <c r="F35" i="2" s="1"/>
  <c r="G30" i="2"/>
  <c r="G31" i="2"/>
  <c r="G32" i="2"/>
  <c r="H26" i="2"/>
  <c r="G29" i="2"/>
  <c r="G33" i="2" l="1"/>
  <c r="G35" i="2" s="1"/>
  <c r="H28" i="2"/>
  <c r="H29" i="2" s="1"/>
  <c r="H30" i="2"/>
  <c r="H31" i="2"/>
  <c r="H32" i="2"/>
  <c r="H33" i="2" l="1"/>
  <c r="H34" i="2" s="1"/>
  <c r="H35" i="2" s="1"/>
  <c r="C37" i="2" s="1"/>
  <c r="C40" i="2" s="1"/>
  <c r="C44" i="2" s="1"/>
  <c r="A15" i="3" s="1"/>
  <c r="C1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MAI TRAN</author>
  </authors>
  <commentList>
    <comment ref="A5" authorId="0" shapeId="0" xr:uid="{EA4E3A33-D4C2-4841-98FC-2CC10DA9788A}">
      <text>
        <r>
          <rPr>
            <b/>
            <sz val="9"/>
            <color indexed="81"/>
            <rFont val="Tahoma"/>
            <family val="2"/>
          </rPr>
          <t>MAI TRAN:</t>
        </r>
        <r>
          <rPr>
            <sz val="9"/>
            <color indexed="81"/>
            <rFont val="Tahoma"/>
            <family val="2"/>
          </rPr>
          <t xml:space="preserve">
Source: Damodaran (NYU Stern) - Implied ERP for S&amp;P 500</t>
        </r>
      </text>
    </comment>
    <comment ref="A6" authorId="0" shapeId="0" xr:uid="{6BE5FF1F-E9E7-4EA4-BC2F-FDFF256D611A}">
      <text>
        <r>
          <rPr>
            <b/>
            <sz val="9"/>
            <color indexed="81"/>
            <rFont val="Tahoma"/>
            <family val="2"/>
          </rPr>
          <t>MAI TRAN:</t>
        </r>
        <r>
          <rPr>
            <sz val="9"/>
            <color indexed="81"/>
            <rFont val="Tahoma"/>
            <family val="2"/>
          </rPr>
          <t xml:space="preserve">
U.S. federal corporate statutory rate</t>
        </r>
      </text>
    </comment>
    <comment ref="A7" authorId="0" shapeId="0" xr:uid="{0DC741DD-9005-4883-8BCA-B242A4460799}">
      <text>
        <r>
          <rPr>
            <b/>
            <sz val="9"/>
            <color indexed="81"/>
            <rFont val="Tahoma"/>
            <family val="2"/>
          </rPr>
          <t>MAI TRAN:</t>
        </r>
        <r>
          <rPr>
            <sz val="9"/>
            <color indexed="81"/>
            <rFont val="Tahoma"/>
            <family val="2"/>
          </rPr>
          <t xml:space="preserve">
5Y growth rate - Reuters (2026)</t>
        </r>
      </text>
    </comment>
    <comment ref="A8" authorId="0" shapeId="0" xr:uid="{CEACCEE5-B155-405B-B311-B416107A1F6B}">
      <text>
        <r>
          <rPr>
            <b/>
            <sz val="9"/>
            <color indexed="81"/>
            <rFont val="Tahoma"/>
            <family val="2"/>
          </rPr>
          <t>MAI TRAN:</t>
        </r>
        <r>
          <rPr>
            <sz val="9"/>
            <color indexed="81"/>
            <rFont val="Tahoma"/>
            <family val="2"/>
          </rPr>
          <t xml:space="preserve">
Source: IMF/Federal Reserve - Long-term Inflation Target &amp; GDP Growth</t>
        </r>
      </text>
    </comment>
  </commentList>
</comments>
</file>

<file path=xl/sharedStrings.xml><?xml version="1.0" encoding="utf-8"?>
<sst xmlns="http://schemas.openxmlformats.org/spreadsheetml/2006/main" count="249" uniqueCount="243">
  <si>
    <t xml:space="preserve">Ticker symbol: </t>
  </si>
  <si>
    <t>--- INCOME STATEMENT ---</t>
  </si>
  <si>
    <t>Tax Effect Of Unusual Items</t>
  </si>
  <si>
    <t>Tax Rate For Calcs</t>
  </si>
  <si>
    <t>Normalized EBITDA</t>
  </si>
  <si>
    <t>Net Income From Continuing Operation Net Minority Interest</t>
  </si>
  <si>
    <t>Reconciled Depreciation</t>
  </si>
  <si>
    <t>Reconciled Cost Of Revenue</t>
  </si>
  <si>
    <t>EBITDA</t>
  </si>
  <si>
    <t>EBIT</t>
  </si>
  <si>
    <t>Net Interest Income</t>
  </si>
  <si>
    <t>Interest Expense</t>
  </si>
  <si>
    <t>Interest Income</t>
  </si>
  <si>
    <t>Normalized Income</t>
  </si>
  <si>
    <t>Net Income From Continuing And Discontinued Operation</t>
  </si>
  <si>
    <t>Total Expenses</t>
  </si>
  <si>
    <t>Diluted Average Shares</t>
  </si>
  <si>
    <t>Basic Average Shares</t>
  </si>
  <si>
    <t>Diluted EPS</t>
  </si>
  <si>
    <t>Basic EPS</t>
  </si>
  <si>
    <t>Diluted NI Availto Com Stockholders</t>
  </si>
  <si>
    <t>Net Income Common Stockholders</t>
  </si>
  <si>
    <t>Net Income</t>
  </si>
  <si>
    <t>Net Income Including Noncontrolling Interests</t>
  </si>
  <si>
    <t>Net Income Continuous Operations</t>
  </si>
  <si>
    <t>Tax Provision</t>
  </si>
  <si>
    <t>Pretax Income</t>
  </si>
  <si>
    <t>Net Non Operating Interest Income Expense</t>
  </si>
  <si>
    <t>Interest Expense Non Operating</t>
  </si>
  <si>
    <t>Interest Income Non Operating</t>
  </si>
  <si>
    <t>Operating Income</t>
  </si>
  <si>
    <t>Operating Expense</t>
  </si>
  <si>
    <t>Selling General And Administration</t>
  </si>
  <si>
    <t>Gross Profit</t>
  </si>
  <si>
    <t>Cost Of Revenue</t>
  </si>
  <si>
    <t>Total Revenue</t>
  </si>
  <si>
    <t>Operating Revenue</t>
  </si>
  <si>
    <t>--- BALANCE SHEET ---</t>
  </si>
  <si>
    <t>Ordinary Shares Number</t>
  </si>
  <si>
    <t>Share Issued</t>
  </si>
  <si>
    <t>Net Debt</t>
  </si>
  <si>
    <t>Total Debt</t>
  </si>
  <si>
    <t>Tangible Book Value</t>
  </si>
  <si>
    <t>Invested Capital</t>
  </si>
  <si>
    <t>Working Capital</t>
  </si>
  <si>
    <t>Net Tangible Assets</t>
  </si>
  <si>
    <t>Capital Lease Obligations</t>
  </si>
  <si>
    <t>Common Stock Equity</t>
  </si>
  <si>
    <t>Total Capitalization</t>
  </si>
  <si>
    <t>Total Equity Gross Minority Interest</t>
  </si>
  <si>
    <t>Stockholders Equity</t>
  </si>
  <si>
    <t>Retained Earnings</t>
  </si>
  <si>
    <t>Capital Stock</t>
  </si>
  <si>
    <t>Common Stock</t>
  </si>
  <si>
    <t>Total Liabilities Net Minority Interest</t>
  </si>
  <si>
    <t>Total Non Current Liabilities Net Minority Interest</t>
  </si>
  <si>
    <t>Tradeand Other Payables Non Current</t>
  </si>
  <si>
    <t>Long Term Debt And Capital Lease Obligation</t>
  </si>
  <si>
    <t>Long Term Capital Lease Obligation</t>
  </si>
  <si>
    <t>Long Term Debt</t>
  </si>
  <si>
    <t>Current Liabilities</t>
  </si>
  <si>
    <t>Current Debt And Capital Lease Obligation</t>
  </si>
  <si>
    <t>Current Debt</t>
  </si>
  <si>
    <t>Payables</t>
  </si>
  <si>
    <t>Total Tax Payable</t>
  </si>
  <si>
    <t>Accounts Payable</t>
  </si>
  <si>
    <t>Total Assets</t>
  </si>
  <si>
    <t>Total Non Current Assets</t>
  </si>
  <si>
    <t>Investmentin Financial Assets</t>
  </si>
  <si>
    <t>Available For Sale Securities</t>
  </si>
  <si>
    <t>Net PPE</t>
  </si>
  <si>
    <t>Accumulated Depreciation</t>
  </si>
  <si>
    <t>Gross PPE</t>
  </si>
  <si>
    <t>Other Properties</t>
  </si>
  <si>
    <t>Machinery Furniture Equipment</t>
  </si>
  <si>
    <t>Land And Improvements</t>
  </si>
  <si>
    <t>Properties</t>
  </si>
  <si>
    <t>Current Assets</t>
  </si>
  <si>
    <t>Inventory</t>
  </si>
  <si>
    <t>Accounts Receivable</t>
  </si>
  <si>
    <t>Cash Cash Equivalents And Short Term Investments</t>
  </si>
  <si>
    <t>Other Short Term Investments</t>
  </si>
  <si>
    <t>Cash And Cash Equivalents</t>
  </si>
  <si>
    <t>--- CASH FLOW ---</t>
  </si>
  <si>
    <t>Free Cash Flow</t>
  </si>
  <si>
    <t>Repurchase Of Capital Stock</t>
  </si>
  <si>
    <t>Repayment Of Debt</t>
  </si>
  <si>
    <t>Issuance Of Debt</t>
  </si>
  <si>
    <t>Capital Expenditure</t>
  </si>
  <si>
    <t>End Cash Position</t>
  </si>
  <si>
    <t>Beginning Cash Position</t>
  </si>
  <si>
    <t>Changes In Cash</t>
  </si>
  <si>
    <t>Financing Cash Flow</t>
  </si>
  <si>
    <t>Net Other Financing Charges</t>
  </si>
  <si>
    <t>Cash Dividends Paid</t>
  </si>
  <si>
    <t>Common Stock Dividend Paid</t>
  </si>
  <si>
    <t>Net Common Stock Issuance</t>
  </si>
  <si>
    <t>Common Stock Payments</t>
  </si>
  <si>
    <t>Net Issuance Payments Of Debt</t>
  </si>
  <si>
    <t>Net Short Term Debt Issuance</t>
  </si>
  <si>
    <t>Net Long Term Debt Issuance</t>
  </si>
  <si>
    <t>Long Term Debt Payments</t>
  </si>
  <si>
    <t>Long Term Debt Issuance</t>
  </si>
  <si>
    <t>Investing Cash Flow</t>
  </si>
  <si>
    <t>Net Business Purchase And Sale</t>
  </si>
  <si>
    <t>Purchase Of Business</t>
  </si>
  <si>
    <t>Net PPE Purchase And Sale</t>
  </si>
  <si>
    <t>Purchase Of PPE</t>
  </si>
  <si>
    <t>Operating Cash Flow</t>
  </si>
  <si>
    <t>Change In Working Capital</t>
  </si>
  <si>
    <t>Change In Other Current Liabilities</t>
  </si>
  <si>
    <t>Change In Other Current Assets</t>
  </si>
  <si>
    <t>Change In Inventory</t>
  </si>
  <si>
    <t>Stock Based Compensation</t>
  </si>
  <si>
    <t>Depreciation And Amortization</t>
  </si>
  <si>
    <t>Net Income From Continuing Operations</t>
  </si>
  <si>
    <t>--- WACC INPUTS ---</t>
  </si>
  <si>
    <t>Market Cap</t>
  </si>
  <si>
    <t>Beta</t>
  </si>
  <si>
    <t>Risk-free rate</t>
  </si>
  <si>
    <t>Total Operating Income As Reported</t>
  </si>
  <si>
    <t>Other Income Expense</t>
  </si>
  <si>
    <t>Other Non Operating Income Expenses</t>
  </si>
  <si>
    <t>Research And Development</t>
  </si>
  <si>
    <t>Gains Losses Not Affecting Retained Earnings</t>
  </si>
  <si>
    <t>Other Equity Adjustments</t>
  </si>
  <si>
    <t>Other Non Current Liabilities</t>
  </si>
  <si>
    <t>Other Current Liabilities</t>
  </si>
  <si>
    <t>Current Deferred Liabilities</t>
  </si>
  <si>
    <t>Current Deferred Revenue</t>
  </si>
  <si>
    <t>Other Current Borrowings</t>
  </si>
  <si>
    <t>Commercial Paper</t>
  </si>
  <si>
    <t>Payables And Accrued Expenses</t>
  </si>
  <si>
    <t>Income Tax Payable</t>
  </si>
  <si>
    <t>Other Non Current Assets</t>
  </si>
  <si>
    <t>Investments And Advances</t>
  </si>
  <si>
    <t>Leases</t>
  </si>
  <si>
    <t>Other Current Assets</t>
  </si>
  <si>
    <t>Receivables</t>
  </si>
  <si>
    <t>Cash Equivalents</t>
  </si>
  <si>
    <t>Cash Financial</t>
  </si>
  <si>
    <t>Issuance Of Capital Stock</t>
  </si>
  <si>
    <t>Cash Flow From Continuing Financing Activities</t>
  </si>
  <si>
    <t>Common Stock Issuance</t>
  </si>
  <si>
    <t>Cash Flow From Continuing Investing Activities</t>
  </si>
  <si>
    <t>Net Other Investing Changes</t>
  </si>
  <si>
    <t>Net Investment Purchase And Sale</t>
  </si>
  <si>
    <t>Sale Of Investment</t>
  </si>
  <si>
    <t>Purchase Of Investment</t>
  </si>
  <si>
    <t>Cash Flow From Continuing Operating Activities</t>
  </si>
  <si>
    <t>Change In Other Working Capital</t>
  </si>
  <si>
    <t>Change In Payables And Accrued Expense</t>
  </si>
  <si>
    <t>Change In Payable</t>
  </si>
  <si>
    <t>Change In Account Payable</t>
  </si>
  <si>
    <t>Change In Receivables</t>
  </si>
  <si>
    <t>Changes In Account Receivables</t>
  </si>
  <si>
    <t>Deferred Tax</t>
  </si>
  <si>
    <t>Deferred Income Tax</t>
  </si>
  <si>
    <t>Depreciation Amortization Depletion</t>
  </si>
  <si>
    <t>Total Unusual Items</t>
  </si>
  <si>
    <t>Total Unusual Items Excluding Goodwill</t>
  </si>
  <si>
    <t>Special Income Charges</t>
  </si>
  <si>
    <t>Write Off</t>
  </si>
  <si>
    <t>Gain On Sale Of Security</t>
  </si>
  <si>
    <t>Selling And Marketing Expense</t>
  </si>
  <si>
    <t>General And Administrative Expense</t>
  </si>
  <si>
    <t>Other Gand A</t>
  </si>
  <si>
    <t>Non Current Deferred Liabilities</t>
  </si>
  <si>
    <t>Non Current Deferred Revenue</t>
  </si>
  <si>
    <t>Non Current Deferred Taxes Liabilities</t>
  </si>
  <si>
    <t>Pensionand Other Post Retirement Benefit Plans Current</t>
  </si>
  <si>
    <t>Goodwill And Other Intangible Assets</t>
  </si>
  <si>
    <t>Other Intangible Assets</t>
  </si>
  <si>
    <t>Goodwill</t>
  </si>
  <si>
    <t>Buildings And Improvements</t>
  </si>
  <si>
    <t>Allowance For Doubtful Accounts Receivable</t>
  </si>
  <si>
    <t>Gross Accounts Receivable</t>
  </si>
  <si>
    <t>Effect Of Exchange Rate Changes</t>
  </si>
  <si>
    <t>Depreciation</t>
  </si>
  <si>
    <t>Operating Gains Losses</t>
  </si>
  <si>
    <t>Gain Loss On Investment Securities</t>
  </si>
  <si>
    <t>ASSUMPTIONS</t>
  </si>
  <si>
    <t>MSFT</t>
  </si>
  <si>
    <t>Financial Assets</t>
  </si>
  <si>
    <t>Long Term Equity Investment</t>
  </si>
  <si>
    <t>Hedging Assets Current</t>
  </si>
  <si>
    <t>Finished Goods</t>
  </si>
  <si>
    <t>Work In Process</t>
  </si>
  <si>
    <t>Raw Materials</t>
  </si>
  <si>
    <t>Short Term Debt Issuance</t>
  </si>
  <si>
    <t>Change In Tax Payable</t>
  </si>
  <si>
    <t>Change In Income Tax Payable</t>
  </si>
  <si>
    <t>Unrealized Gain Loss On Investment Securities</t>
  </si>
  <si>
    <t>Asset Impairment Charge</t>
  </si>
  <si>
    <t>Equity risk premium</t>
  </si>
  <si>
    <t>Terminal growth rate (g)</t>
  </si>
  <si>
    <t>Cost of equity</t>
  </si>
  <si>
    <t>Revenue growth rate</t>
  </si>
  <si>
    <t>Cost of debt (before tax)</t>
  </si>
  <si>
    <t>Tax rate</t>
  </si>
  <si>
    <t>WACC</t>
  </si>
  <si>
    <t>Equity weight</t>
  </si>
  <si>
    <t>Debt weight</t>
  </si>
  <si>
    <t>PROJECTIONS</t>
  </si>
  <si>
    <t>EBIT margin</t>
  </si>
  <si>
    <t>Revenue</t>
  </si>
  <si>
    <t>Depreciation &amp; Amortization/Revenue</t>
  </si>
  <si>
    <t>Capex/Revenue</t>
  </si>
  <si>
    <t>Increase in WC/Revenue</t>
  </si>
  <si>
    <t>2025 (A)</t>
  </si>
  <si>
    <t>Terminal value</t>
  </si>
  <si>
    <t>FCFF</t>
  </si>
  <si>
    <t>Cash flow for discounting</t>
  </si>
  <si>
    <t>Enterprise value</t>
  </si>
  <si>
    <t>Equity value</t>
  </si>
  <si>
    <t>Share outstanding</t>
  </si>
  <si>
    <t>Share price</t>
  </si>
  <si>
    <t>(-) Tax</t>
  </si>
  <si>
    <t>(+) Depreciation &amp; Amortization</t>
  </si>
  <si>
    <t>(-) Capex</t>
  </si>
  <si>
    <t>(-) Increase in Working Capital</t>
  </si>
  <si>
    <t>(+) Cash &amp; Short term investment</t>
  </si>
  <si>
    <t>(-) Debt</t>
  </si>
  <si>
    <t>2026E</t>
  </si>
  <si>
    <t>2027E</t>
  </si>
  <si>
    <t>2028E</t>
  </si>
  <si>
    <t>2029E</t>
  </si>
  <si>
    <t>2030E</t>
  </si>
  <si>
    <t>Intrinsic Value (DCF)</t>
  </si>
  <si>
    <t>Upside/Downside</t>
  </si>
  <si>
    <t>Current Market Price (02/03/2026)</t>
  </si>
  <si>
    <t>INVESTMENT RECOMMENDATION</t>
  </si>
  <si>
    <t>Scenario</t>
  </si>
  <si>
    <t>Bull</t>
  </si>
  <si>
    <t>Bear</t>
  </si>
  <si>
    <t>Base</t>
  </si>
  <si>
    <t>Terminal growth rate</t>
  </si>
  <si>
    <t>WACC Adjustment</t>
  </si>
  <si>
    <t>SCENARIO SELECTED:</t>
  </si>
  <si>
    <t>WACC adjustment</t>
  </si>
  <si>
    <t>NB: Cells in grey are either manually filled in or linked from "Data_dump" sheet
Cells in Purple are filled automatically when user clicks corresponding scenario button in "Dashboard"
Cells in Blue are calculated by formulas by author</t>
  </si>
  <si>
    <r>
      <t xml:space="preserve">Based on a 5-year DCF model with a 15% revenue growth assumption, the intrinsic value of MSFT is estimated at $321.30. With the current market price at $395.11, the stock appears overvalued by approximately 19% in Base Case. A </t>
    </r>
    <r>
      <rPr>
        <b/>
        <sz val="12"/>
        <color theme="1"/>
        <rFont val="Aptos Narrow"/>
        <family val="2"/>
        <scheme val="minor"/>
      </rPr>
      <t xml:space="preserve">HOLD/UNDERWEIGHT </t>
    </r>
    <r>
      <rPr>
        <sz val="12"/>
        <color theme="1"/>
        <rFont val="Aptos Narrow"/>
        <family val="2"/>
        <scheme val="minor"/>
      </rPr>
      <t>rating is assigned, as the market’s AI optimism exceeds sustainable cash flow projections. Investors should seek a better entry point near the $320 level.</t>
    </r>
  </si>
  <si>
    <t>Base Case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</si>
</sst>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&quot;$&quot;#,##0.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9" tint="-0.249977111117893"/>
      <name val="Aptos Narrow"/>
      <family val="2"/>
      <scheme val="minor"/>
    </font>
    <font>
      <b/>
      <sz val="11"/>
      <color theme="9" tint="-0.249977111117893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800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b/>
      <sz val="11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mediumDashDot">
        <color auto="1"/>
      </left>
      <right/>
      <top style="mediumDashDot">
        <color auto="1"/>
      </top>
      <bottom/>
      <diagonal/>
    </border>
    <border>
      <left/>
      <right/>
      <top style="mediumDashDot">
        <color auto="1"/>
      </top>
      <bottom/>
      <diagonal/>
    </border>
    <border>
      <left/>
      <right style="mediumDashDot">
        <color auto="1"/>
      </right>
      <top style="mediumDashDot">
        <color auto="1"/>
      </top>
      <bottom/>
      <diagonal/>
    </border>
    <border>
      <left style="mediumDashDot">
        <color auto="1"/>
      </left>
      <right/>
      <top/>
      <bottom/>
      <diagonal/>
    </border>
    <border>
      <left/>
      <right style="mediumDashDot">
        <color auto="1"/>
      </right>
      <top/>
      <bottom/>
      <diagonal/>
    </border>
    <border>
      <left style="mediumDashDot">
        <color auto="1"/>
      </left>
      <right/>
      <top/>
      <bottom style="mediumDashDot">
        <color auto="1"/>
      </bottom>
      <diagonal/>
    </border>
    <border>
      <left/>
      <right/>
      <top/>
      <bottom style="mediumDashDot">
        <color auto="1"/>
      </bottom>
      <diagonal/>
    </border>
    <border>
      <left/>
      <right style="mediumDashDot">
        <color auto="1"/>
      </right>
      <top/>
      <bottom style="mediumDashDot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14" fontId="0" fillId="0" borderId="0" xfId="0" applyNumberFormat="1"/>
    <xf numFmtId="0" fontId="0" fillId="4" borderId="0" xfId="0" applyFill="1"/>
    <xf numFmtId="9" fontId="0" fillId="4" borderId="0" xfId="0" applyNumberFormat="1" applyFill="1"/>
    <xf numFmtId="10" fontId="0" fillId="4" borderId="0" xfId="3" applyNumberFormat="1" applyFont="1" applyFill="1"/>
    <xf numFmtId="9" fontId="0" fillId="3" borderId="0" xfId="3" applyFont="1" applyFill="1"/>
    <xf numFmtId="164" fontId="0" fillId="3" borderId="0" xfId="3" applyNumberFormat="1" applyFont="1" applyFill="1"/>
    <xf numFmtId="10" fontId="0" fillId="3" borderId="0" xfId="0" applyNumberFormat="1" applyFill="1"/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10" fontId="0" fillId="0" borderId="0" xfId="0" applyNumberFormat="1"/>
    <xf numFmtId="9" fontId="0" fillId="0" borderId="0" xfId="0" applyNumberFormat="1"/>
    <xf numFmtId="0" fontId="0" fillId="0" borderId="0" xfId="0" applyAlignment="1">
      <alignment horizontal="left"/>
    </xf>
    <xf numFmtId="8" fontId="0" fillId="0" borderId="0" xfId="0" applyNumberFormat="1"/>
    <xf numFmtId="43" fontId="0" fillId="0" borderId="0" xfId="1" applyFont="1"/>
    <xf numFmtId="10" fontId="0" fillId="4" borderId="0" xfId="0" applyNumberFormat="1" applyFill="1"/>
    <xf numFmtId="0" fontId="3" fillId="5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left"/>
    </xf>
    <xf numFmtId="165" fontId="0" fillId="0" borderId="0" xfId="1" applyNumberFormat="1" applyFont="1"/>
    <xf numFmtId="44" fontId="0" fillId="0" borderId="0" xfId="2" applyFont="1"/>
    <xf numFmtId="0" fontId="3" fillId="3" borderId="0" xfId="0" applyFont="1" applyFill="1" applyAlignment="1">
      <alignment horizontal="center"/>
    </xf>
    <xf numFmtId="8" fontId="0" fillId="3" borderId="0" xfId="0" applyNumberFormat="1" applyFill="1" applyAlignment="1">
      <alignment horizontal="center"/>
    </xf>
    <xf numFmtId="0" fontId="3" fillId="6" borderId="0" xfId="0" applyFont="1" applyFill="1" applyAlignment="1">
      <alignment horizontal="center"/>
    </xf>
    <xf numFmtId="166" fontId="0" fillId="6" borderId="0" xfId="0" applyNumberFormat="1" applyFill="1" applyAlignment="1">
      <alignment horizontal="center"/>
    </xf>
    <xf numFmtId="8" fontId="0" fillId="0" borderId="0" xfId="0" applyNumberFormat="1" applyAlignment="1">
      <alignment horizontal="center"/>
    </xf>
    <xf numFmtId="9" fontId="0" fillId="5" borderId="0" xfId="3" applyFont="1" applyFill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3" applyFont="1" applyFill="1" applyAlignment="1">
      <alignment horizontal="center"/>
    </xf>
    <xf numFmtId="0" fontId="1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10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9" fontId="2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64" fontId="12" fillId="2" borderId="0" xfId="0" applyNumberFormat="1" applyFont="1" applyFill="1"/>
    <xf numFmtId="0" fontId="13" fillId="2" borderId="0" xfId="0" applyFont="1" applyFill="1" applyAlignment="1">
      <alignment horizontal="center" vertical="center"/>
    </xf>
    <xf numFmtId="0" fontId="7" fillId="0" borderId="4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14" fillId="0" borderId="1" xfId="0" applyFont="1" applyBorder="1" applyAlignment="1">
      <alignment horizontal="center" wrapText="1"/>
    </xf>
    <xf numFmtId="0" fontId="14" fillId="0" borderId="2" xfId="0" applyFont="1" applyBorder="1" applyAlignment="1">
      <alignment horizontal="center" wrapText="1"/>
    </xf>
    <xf numFmtId="0" fontId="14" fillId="0" borderId="3" xfId="0" applyFont="1" applyBorder="1" applyAlignment="1">
      <alignment horizontal="center" wrapText="1"/>
    </xf>
    <xf numFmtId="0" fontId="14" fillId="0" borderId="4" xfId="0" applyFont="1" applyBorder="1" applyAlignment="1">
      <alignment horizontal="center" wrapText="1"/>
    </xf>
    <xf numFmtId="0" fontId="14" fillId="0" borderId="0" xfId="0" applyFont="1" applyAlignment="1">
      <alignment horizontal="center" wrapText="1"/>
    </xf>
    <xf numFmtId="0" fontId="14" fillId="0" borderId="5" xfId="0" applyFont="1" applyBorder="1" applyAlignment="1">
      <alignment horizontal="center" wrapText="1"/>
    </xf>
    <xf numFmtId="0" fontId="14" fillId="0" borderId="6" xfId="0" applyFont="1" applyBorder="1" applyAlignment="1">
      <alignment horizontal="center" wrapText="1"/>
    </xf>
    <xf numFmtId="0" fontId="14" fillId="0" borderId="7" xfId="0" applyFont="1" applyBorder="1" applyAlignment="1">
      <alignment horizontal="center" wrapText="1"/>
    </xf>
    <xf numFmtId="0" fontId="14" fillId="0" borderId="8" xfId="0" applyFont="1" applyBorder="1" applyAlignment="1">
      <alignment horizontal="center" wrapText="1"/>
    </xf>
    <xf numFmtId="9" fontId="18" fillId="2" borderId="0" xfId="0" applyNumberFormat="1" applyFont="1" applyFill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488950</xdr:colOff>
          <xdr:row>7</xdr:row>
          <xdr:rowOff>76200</xdr:rowOff>
        </xdr:from>
        <xdr:to>
          <xdr:col>1</xdr:col>
          <xdr:colOff>444500</xdr:colOff>
          <xdr:row>9</xdr:row>
          <xdr:rowOff>19050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Aptos Narrow"/>
                </a:rPr>
                <a:t>Bull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812800</xdr:colOff>
          <xdr:row>7</xdr:row>
          <xdr:rowOff>19050</xdr:rowOff>
        </xdr:from>
        <xdr:to>
          <xdr:col>2</xdr:col>
          <xdr:colOff>19050</xdr:colOff>
          <xdr:row>9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Base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692150</xdr:colOff>
          <xdr:row>7</xdr:row>
          <xdr:rowOff>76200</xdr:rowOff>
        </xdr:from>
        <xdr:to>
          <xdr:col>3</xdr:col>
          <xdr:colOff>895350</xdr:colOff>
          <xdr:row>9</xdr:row>
          <xdr:rowOff>50800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Aptos Narrow"/>
                </a:rPr>
                <a:t>Bear Case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C6015-10CC-4127-B0C0-92D15A71D0D2}">
  <sheetPr codeName="Sheet3"/>
  <dimension ref="A1:D29"/>
  <sheetViews>
    <sheetView showGridLines="0" tabSelected="1" zoomScale="87" zoomScaleNormal="100" workbookViewId="0">
      <selection activeCell="A19" sqref="A19:C29"/>
    </sheetView>
  </sheetViews>
  <sheetFormatPr defaultRowHeight="14.5" x14ac:dyDescent="0.35"/>
  <cols>
    <col min="1" max="1" width="21.08984375" customWidth="1"/>
    <col min="2" max="2" width="32.26953125" customWidth="1"/>
    <col min="3" max="3" width="18" bestFit="1" customWidth="1"/>
    <col min="4" max="4" width="16.26953125" bestFit="1" customWidth="1"/>
  </cols>
  <sheetData>
    <row r="1" spans="1:4" x14ac:dyDescent="0.35">
      <c r="A1" s="19" t="s">
        <v>0</v>
      </c>
      <c r="B1" t="s">
        <v>182</v>
      </c>
    </row>
    <row r="2" spans="1:4" x14ac:dyDescent="0.35">
      <c r="A2" s="19"/>
    </row>
    <row r="3" spans="1:4" x14ac:dyDescent="0.35">
      <c r="A3" s="18" t="s">
        <v>232</v>
      </c>
      <c r="B3" s="17" t="s">
        <v>197</v>
      </c>
      <c r="C3" s="17" t="s">
        <v>236</v>
      </c>
      <c r="D3" s="17" t="s">
        <v>237</v>
      </c>
    </row>
    <row r="4" spans="1:4" x14ac:dyDescent="0.35">
      <c r="A4" s="31" t="s">
        <v>233</v>
      </c>
      <c r="B4" s="33">
        <v>0.2</v>
      </c>
      <c r="C4" s="33">
        <v>0.03</v>
      </c>
      <c r="D4" s="33">
        <v>-0.01</v>
      </c>
    </row>
    <row r="5" spans="1:4" x14ac:dyDescent="0.35">
      <c r="A5" s="18" t="s">
        <v>235</v>
      </c>
      <c r="B5" s="34">
        <v>0.15</v>
      </c>
      <c r="C5" s="35">
        <v>2.5000000000000001E-2</v>
      </c>
      <c r="D5" s="34">
        <v>0</v>
      </c>
    </row>
    <row r="6" spans="1:4" x14ac:dyDescent="0.35">
      <c r="A6" s="32" t="s">
        <v>234</v>
      </c>
      <c r="B6" s="36">
        <v>0.05</v>
      </c>
      <c r="C6" s="37">
        <v>1.4999999999999999E-2</v>
      </c>
      <c r="D6" s="36">
        <v>0.01</v>
      </c>
    </row>
    <row r="7" spans="1:4" x14ac:dyDescent="0.35">
      <c r="A7" s="32"/>
      <c r="B7" s="36"/>
      <c r="C7" s="37"/>
      <c r="D7" s="36"/>
    </row>
    <row r="8" spans="1:4" x14ac:dyDescent="0.35">
      <c r="A8" s="32"/>
      <c r="B8" s="36"/>
      <c r="C8" s="37"/>
      <c r="D8" s="36"/>
    </row>
    <row r="9" spans="1:4" x14ac:dyDescent="0.35">
      <c r="A9" s="32"/>
      <c r="B9" s="36"/>
      <c r="C9" s="37"/>
      <c r="D9" s="36"/>
    </row>
    <row r="10" spans="1:4" x14ac:dyDescent="0.35">
      <c r="A10" s="32"/>
      <c r="B10" s="36"/>
      <c r="C10" s="37"/>
      <c r="D10" s="36"/>
    </row>
    <row r="11" spans="1:4" x14ac:dyDescent="0.35">
      <c r="A11" s="39" t="s">
        <v>238</v>
      </c>
      <c r="B11" s="59" t="s">
        <v>242</v>
      </c>
      <c r="C11" s="37"/>
      <c r="D11" s="36"/>
    </row>
    <row r="12" spans="1:4" x14ac:dyDescent="0.35">
      <c r="A12" s="32"/>
      <c r="B12" s="36"/>
      <c r="C12" s="37"/>
      <c r="D12" s="36"/>
    </row>
    <row r="14" spans="1:4" x14ac:dyDescent="0.35">
      <c r="A14" s="23" t="s">
        <v>228</v>
      </c>
      <c r="B14" s="25" t="s">
        <v>230</v>
      </c>
      <c r="C14" s="16" t="s">
        <v>229</v>
      </c>
    </row>
    <row r="15" spans="1:4" x14ac:dyDescent="0.35">
      <c r="A15" s="24">
        <f>Calculations!C44</f>
        <v>321.30038842218499</v>
      </c>
      <c r="B15" s="26">
        <v>395.11</v>
      </c>
      <c r="C15" s="28">
        <f>(A15/B15)-1</f>
        <v>-0.18680775373393488</v>
      </c>
    </row>
    <row r="16" spans="1:4" x14ac:dyDescent="0.35">
      <c r="A16" s="27"/>
      <c r="B16" s="29"/>
      <c r="C16" s="30"/>
    </row>
    <row r="17" spans="1:3" ht="15" thickBot="1" x14ac:dyDescent="0.4">
      <c r="A17" s="27"/>
      <c r="B17" s="29"/>
      <c r="C17" s="30"/>
    </row>
    <row r="18" spans="1:3" ht="18.5" x14ac:dyDescent="0.45">
      <c r="A18" s="46" t="s">
        <v>231</v>
      </c>
      <c r="B18" s="47"/>
      <c r="C18" s="48"/>
    </row>
    <row r="19" spans="1:3" x14ac:dyDescent="0.35">
      <c r="A19" s="40" t="s">
        <v>241</v>
      </c>
      <c r="B19" s="41"/>
      <c r="C19" s="42"/>
    </row>
    <row r="20" spans="1:3" x14ac:dyDescent="0.35">
      <c r="A20" s="40"/>
      <c r="B20" s="41"/>
      <c r="C20" s="42"/>
    </row>
    <row r="21" spans="1:3" x14ac:dyDescent="0.35">
      <c r="A21" s="40"/>
      <c r="B21" s="41"/>
      <c r="C21" s="42"/>
    </row>
    <row r="22" spans="1:3" x14ac:dyDescent="0.35">
      <c r="A22" s="40"/>
      <c r="B22" s="41"/>
      <c r="C22" s="42"/>
    </row>
    <row r="23" spans="1:3" x14ac:dyDescent="0.35">
      <c r="A23" s="40"/>
      <c r="B23" s="41"/>
      <c r="C23" s="42"/>
    </row>
    <row r="24" spans="1:3" x14ac:dyDescent="0.35">
      <c r="A24" s="40"/>
      <c r="B24" s="41"/>
      <c r="C24" s="42"/>
    </row>
    <row r="25" spans="1:3" x14ac:dyDescent="0.35">
      <c r="A25" s="40"/>
      <c r="B25" s="41"/>
      <c r="C25" s="42"/>
    </row>
    <row r="26" spans="1:3" x14ac:dyDescent="0.35">
      <c r="A26" s="40"/>
      <c r="B26" s="41"/>
      <c r="C26" s="42"/>
    </row>
    <row r="27" spans="1:3" x14ac:dyDescent="0.35">
      <c r="A27" s="40"/>
      <c r="B27" s="41"/>
      <c r="C27" s="42"/>
    </row>
    <row r="28" spans="1:3" x14ac:dyDescent="0.35">
      <c r="A28" s="40"/>
      <c r="B28" s="41"/>
      <c r="C28" s="42"/>
    </row>
    <row r="29" spans="1:3" ht="15" thickBot="1" x14ac:dyDescent="0.4">
      <c r="A29" s="43"/>
      <c r="B29" s="44"/>
      <c r="C29" s="45"/>
    </row>
  </sheetData>
  <mergeCells count="2">
    <mergeCell ref="A19:C29"/>
    <mergeCell ref="A18:C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Button_Bull">
                <anchor moveWithCells="1" sizeWithCells="1">
                  <from>
                    <xdr:col>0</xdr:col>
                    <xdr:colOff>488950</xdr:colOff>
                    <xdr:row>7</xdr:row>
                    <xdr:rowOff>76200</xdr:rowOff>
                  </from>
                  <to>
                    <xdr:col>1</xdr:col>
                    <xdr:colOff>444500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Button_Base">
                <anchor moveWithCells="1" sizeWithCells="1">
                  <from>
                    <xdr:col>1</xdr:col>
                    <xdr:colOff>812800</xdr:colOff>
                    <xdr:row>7</xdr:row>
                    <xdr:rowOff>19050</xdr:rowOff>
                  </from>
                  <to>
                    <xdr:col>2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Button_Bear">
                <anchor moveWithCells="1" sizeWithCells="1">
                  <from>
                    <xdr:col>2</xdr:col>
                    <xdr:colOff>692150</xdr:colOff>
                    <xdr:row>7</xdr:row>
                    <xdr:rowOff>76200</xdr:rowOff>
                  </from>
                  <to>
                    <xdr:col>3</xdr:col>
                    <xdr:colOff>895350</xdr:colOff>
                    <xdr:row>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E219F-74EC-4620-B64F-F4D1295868DD}">
  <sheetPr codeName="Sheet2"/>
  <dimension ref="A1:H44"/>
  <sheetViews>
    <sheetView showGridLines="0" zoomScale="76" zoomScaleNormal="130" workbookViewId="0">
      <selection activeCell="F14" sqref="F14"/>
    </sheetView>
  </sheetViews>
  <sheetFormatPr defaultRowHeight="14.5" x14ac:dyDescent="0.35"/>
  <cols>
    <col min="1" max="1" width="31.453125" bestFit="1" customWidth="1"/>
    <col min="3" max="3" width="27.90625" customWidth="1"/>
    <col min="4" max="4" width="21.08984375" bestFit="1" customWidth="1"/>
    <col min="5" max="5" width="22.26953125" customWidth="1"/>
    <col min="6" max="6" width="19.6328125" customWidth="1"/>
    <col min="7" max="7" width="23.08984375" customWidth="1"/>
    <col min="8" max="8" width="21.08984375" customWidth="1"/>
    <col min="9" max="9" width="12.453125" bestFit="1" customWidth="1"/>
  </cols>
  <sheetData>
    <row r="1" spans="1:8" x14ac:dyDescent="0.35">
      <c r="A1" s="49" t="s">
        <v>181</v>
      </c>
      <c r="B1" s="49"/>
      <c r="C1" s="49"/>
      <c r="D1" s="49"/>
      <c r="E1" s="49"/>
      <c r="F1" s="49"/>
      <c r="G1" s="49"/>
      <c r="H1" s="49"/>
    </row>
    <row r="3" spans="1:8" x14ac:dyDescent="0.35">
      <c r="A3" t="s">
        <v>119</v>
      </c>
      <c r="C3" s="4">
        <f>_xlfn.XLOOKUP("Risk-free rate",Data_dump!K:K,Data_dump!L:L)</f>
        <v>4.0479998588562015E-2</v>
      </c>
    </row>
    <row r="4" spans="1:8" x14ac:dyDescent="0.35">
      <c r="A4" t="s">
        <v>118</v>
      </c>
      <c r="C4" s="2">
        <f>_xlfn.XLOOKUP("Beta",Data_dump!K:K,Data_dump!L:L)</f>
        <v>1.1080000000000001</v>
      </c>
    </row>
    <row r="5" spans="1:8" x14ac:dyDescent="0.35">
      <c r="A5" t="s">
        <v>194</v>
      </c>
      <c r="C5" s="15">
        <v>0.04</v>
      </c>
    </row>
    <row r="6" spans="1:8" ht="15" thickBot="1" x14ac:dyDescent="0.4">
      <c r="A6" t="s">
        <v>199</v>
      </c>
      <c r="C6" s="3">
        <v>0.21</v>
      </c>
    </row>
    <row r="7" spans="1:8" ht="14.5" customHeight="1" x14ac:dyDescent="0.35">
      <c r="A7" t="s">
        <v>197</v>
      </c>
      <c r="C7" s="38">
        <v>0.15</v>
      </c>
      <c r="E7" s="50" t="s">
        <v>240</v>
      </c>
      <c r="F7" s="51"/>
      <c r="G7" s="51"/>
      <c r="H7" s="52"/>
    </row>
    <row r="8" spans="1:8" x14ac:dyDescent="0.35">
      <c r="A8" t="s">
        <v>195</v>
      </c>
      <c r="C8" s="38">
        <v>2.5000000000000001E-2</v>
      </c>
      <c r="E8" s="53"/>
      <c r="F8" s="54"/>
      <c r="G8" s="54"/>
      <c r="H8" s="55"/>
    </row>
    <row r="9" spans="1:8" x14ac:dyDescent="0.35">
      <c r="A9" t="s">
        <v>239</v>
      </c>
      <c r="C9" s="38">
        <v>0</v>
      </c>
      <c r="E9" s="53"/>
      <c r="F9" s="54"/>
      <c r="G9" s="54"/>
      <c r="H9" s="55"/>
    </row>
    <row r="10" spans="1:8" x14ac:dyDescent="0.35">
      <c r="C10" s="11"/>
      <c r="E10" s="53"/>
      <c r="F10" s="54"/>
      <c r="G10" s="54"/>
      <c r="H10" s="55"/>
    </row>
    <row r="11" spans="1:8" x14ac:dyDescent="0.35">
      <c r="A11" t="s">
        <v>196</v>
      </c>
      <c r="C11" s="6">
        <f>C3+C4*C5</f>
        <v>8.479999858856202E-2</v>
      </c>
      <c r="E11" s="53"/>
      <c r="F11" s="54"/>
      <c r="G11" s="54"/>
      <c r="H11" s="55"/>
    </row>
    <row r="12" spans="1:8" ht="15" thickBot="1" x14ac:dyDescent="0.4">
      <c r="A12" t="s">
        <v>198</v>
      </c>
      <c r="C12" s="6">
        <f>(_xlfn.XLOOKUP("Interest Expense",Data_dump!K:K,Data_dump!L:L))/(_xlfn.XLOOKUP("Total Debt",Data_dump!K:K,Data_dump!L:L))</f>
        <v>1.9346517606739611E-2</v>
      </c>
      <c r="E12" s="56"/>
      <c r="F12" s="57"/>
      <c r="G12" s="57"/>
      <c r="H12" s="58"/>
    </row>
    <row r="13" spans="1:8" x14ac:dyDescent="0.35">
      <c r="A13" t="s">
        <v>201</v>
      </c>
      <c r="C13" s="5">
        <f>_xlfn.XLOOKUP("Market Cap",Data_dump!K:K,Data_dump!L:L)/(_xlfn.XLOOKUP("Total Debt",Data_dump!K:K,Data_dump!L:L)+_xlfn.XLOOKUP("Market Cap",Data_dump!K:K,Data_dump!L:L))</f>
        <v>0.96004539991823745</v>
      </c>
    </row>
    <row r="14" spans="1:8" x14ac:dyDescent="0.35">
      <c r="A14" t="s">
        <v>202</v>
      </c>
      <c r="C14" s="5">
        <f>1-C13</f>
        <v>3.9954600081762548E-2</v>
      </c>
    </row>
    <row r="15" spans="1:8" x14ac:dyDescent="0.35">
      <c r="A15" t="s">
        <v>200</v>
      </c>
      <c r="C15" s="7">
        <f>C13*C11+C14*C12*(1-C6)</f>
        <v>8.2022504633444127E-2</v>
      </c>
    </row>
    <row r="16" spans="1:8" x14ac:dyDescent="0.35">
      <c r="C16" s="10"/>
    </row>
    <row r="17" spans="1:8" x14ac:dyDescent="0.35">
      <c r="A17" t="s">
        <v>204</v>
      </c>
      <c r="C17" s="7">
        <f t="array" ref="C17">AVERAGE(Data_dump!B12:E12/Data_dump!B48:E48)</f>
        <v>0.44059044275113401</v>
      </c>
    </row>
    <row r="18" spans="1:8" x14ac:dyDescent="0.35">
      <c r="A18" t="s">
        <v>206</v>
      </c>
      <c r="C18" s="7">
        <f t="array" ref="C18">AVERAGE(Data_dump!B190:E190/Data_dump!B48:E48)</f>
        <v>8.7622450537421168E-2</v>
      </c>
    </row>
    <row r="19" spans="1:8" x14ac:dyDescent="0.35">
      <c r="A19" t="s">
        <v>207</v>
      </c>
      <c r="C19" s="7">
        <f t="array" ref="C19">AVERAGE(-(Data_dump!B141:E141)/Data_dump!B48:E48)</f>
        <v>0.16592059525748637</v>
      </c>
    </row>
    <row r="20" spans="1:8" x14ac:dyDescent="0.35">
      <c r="A20" t="s">
        <v>208</v>
      </c>
      <c r="C20" s="7">
        <f t="array" ref="C20">AVERAGE(Data_dump!B172:E172/Data_dump!B48:E48)</f>
        <v>-5.1420590146577074E-3</v>
      </c>
    </row>
    <row r="22" spans="1:8" x14ac:dyDescent="0.35">
      <c r="A22" s="49" t="s">
        <v>203</v>
      </c>
      <c r="B22" s="49"/>
      <c r="C22" s="49"/>
      <c r="D22" s="49"/>
      <c r="E22" s="49"/>
      <c r="F22" s="49"/>
      <c r="G22" s="49"/>
      <c r="H22" s="49"/>
    </row>
    <row r="23" spans="1:8" x14ac:dyDescent="0.35">
      <c r="A23" s="17"/>
      <c r="B23" s="17"/>
      <c r="C23" s="17"/>
      <c r="D23" s="17"/>
      <c r="E23" s="17"/>
      <c r="F23" s="17"/>
      <c r="G23" s="17"/>
      <c r="H23" s="17"/>
    </row>
    <row r="24" spans="1:8" x14ac:dyDescent="0.35">
      <c r="C24" s="18" t="s">
        <v>209</v>
      </c>
      <c r="D24" s="18" t="s">
        <v>223</v>
      </c>
      <c r="E24" s="18" t="s">
        <v>224</v>
      </c>
      <c r="F24" s="18" t="s">
        <v>225</v>
      </c>
      <c r="G24" s="18" t="s">
        <v>226</v>
      </c>
      <c r="H24" s="18" t="s">
        <v>227</v>
      </c>
    </row>
    <row r="25" spans="1:8" x14ac:dyDescent="0.35">
      <c r="C25" s="18"/>
      <c r="D25" s="18"/>
      <c r="E25" s="18"/>
      <c r="F25" s="18"/>
      <c r="G25" s="18"/>
      <c r="H25" s="18"/>
    </row>
    <row r="26" spans="1:8" x14ac:dyDescent="0.35">
      <c r="A26" s="19" t="s">
        <v>205</v>
      </c>
      <c r="C26" s="21">
        <f>_xlfn.XLOOKUP("Total Revenue",Data_dump!A:A,Data_dump!B:B)</f>
        <v>281724000000</v>
      </c>
      <c r="D26" s="21">
        <f>C26*(1+$C$7)</f>
        <v>323982600000</v>
      </c>
      <c r="E26" s="21">
        <f>D26*(1+$C$7)</f>
        <v>372579990000</v>
      </c>
      <c r="F26" s="21">
        <f>E26*(1+$C$7)</f>
        <v>428466988499.99994</v>
      </c>
      <c r="G26" s="21">
        <f>F26*(1+$C$7)</f>
        <v>492737036774.99988</v>
      </c>
      <c r="H26" s="21">
        <f>G26*(1+$C$7)</f>
        <v>566647592291.24976</v>
      </c>
    </row>
    <row r="27" spans="1:8" x14ac:dyDescent="0.35">
      <c r="C27" s="21"/>
      <c r="D27" s="21"/>
      <c r="E27" s="21"/>
      <c r="F27" s="21"/>
      <c r="G27" s="21"/>
      <c r="H27" s="21"/>
    </row>
    <row r="28" spans="1:8" x14ac:dyDescent="0.35">
      <c r="A28" s="9" t="s">
        <v>9</v>
      </c>
      <c r="C28" s="21">
        <f>_xlfn.XLOOKUP("EBIT",Data_dump!A:A,Data_dump!B:B)</f>
        <v>126012000000</v>
      </c>
      <c r="D28" s="21">
        <f>D26*$C$17</f>
        <v>142743637177.66354</v>
      </c>
      <c r="E28" s="21">
        <f t="shared" ref="E28:H28" si="0">E26*$C$17</f>
        <v>164155182754.31308</v>
      </c>
      <c r="F28" s="21">
        <f t="shared" si="0"/>
        <v>188778460167.46002</v>
      </c>
      <c r="G28" s="21">
        <f t="shared" si="0"/>
        <v>217095229192.57901</v>
      </c>
      <c r="H28" s="21">
        <f t="shared" si="0"/>
        <v>249659513571.46579</v>
      </c>
    </row>
    <row r="29" spans="1:8" x14ac:dyDescent="0.35">
      <c r="A29" s="9" t="s">
        <v>217</v>
      </c>
      <c r="C29" s="21">
        <f>C28*_xlfn.XLOOKUP("Tax Rate For Calcs",Data_dump!A:A,Data_dump!B:B)</f>
        <v>22178112000</v>
      </c>
      <c r="D29" s="21">
        <f>D28*$C$6</f>
        <v>29976163807.309341</v>
      </c>
      <c r="E29" s="21">
        <f t="shared" ref="E29:H29" si="1">E28*$C$6</f>
        <v>34472588378.405746</v>
      </c>
      <c r="F29" s="21">
        <f t="shared" si="1"/>
        <v>39643476635.166603</v>
      </c>
      <c r="G29" s="21">
        <f t="shared" si="1"/>
        <v>45589998130.441589</v>
      </c>
      <c r="H29" s="21">
        <f t="shared" si="1"/>
        <v>52428497850.007813</v>
      </c>
    </row>
    <row r="30" spans="1:8" x14ac:dyDescent="0.35">
      <c r="A30" s="9" t="s">
        <v>218</v>
      </c>
      <c r="C30" s="21">
        <f>_xlfn.XLOOKUP("Depreciation And Amortization",Data_dump!A:A,Data_dump!B:B)</f>
        <v>34153000000</v>
      </c>
      <c r="D30" s="21">
        <f>D26*$C$18</f>
        <v>28388149343.485107</v>
      </c>
      <c r="E30" s="21">
        <f t="shared" ref="E30:H30" si="2">E26*$C$18</f>
        <v>32646371745.007874</v>
      </c>
      <c r="F30" s="21">
        <f t="shared" si="2"/>
        <v>37543327506.759048</v>
      </c>
      <c r="G30" s="21">
        <f t="shared" si="2"/>
        <v>43174826632.772903</v>
      </c>
      <c r="H30" s="21">
        <f t="shared" si="2"/>
        <v>49651050627.688828</v>
      </c>
    </row>
    <row r="31" spans="1:8" x14ac:dyDescent="0.35">
      <c r="A31" s="9" t="s">
        <v>219</v>
      </c>
      <c r="C31" s="21">
        <f>-_xlfn.XLOOKUP("Capital Expenditure",Data_dump!A:A,Data_dump!B:B)</f>
        <v>64551000000</v>
      </c>
      <c r="D31" s="21">
        <f>D26*$C$19</f>
        <v>53755385845.0681</v>
      </c>
      <c r="E31" s="21">
        <f t="shared" ref="E31:H31" si="3">E26*$C$19</f>
        <v>61818693721.828316</v>
      </c>
      <c r="F31" s="21">
        <f t="shared" si="3"/>
        <v>71091497780.102554</v>
      </c>
      <c r="G31" s="21">
        <f t="shared" si="3"/>
        <v>81755222447.117935</v>
      </c>
      <c r="H31" s="21">
        <f t="shared" si="3"/>
        <v>94018505814.185608</v>
      </c>
    </row>
    <row r="32" spans="1:8" x14ac:dyDescent="0.35">
      <c r="A32" s="9" t="s">
        <v>220</v>
      </c>
      <c r="C32" s="21">
        <f>_xlfn.XLOOKUP("Change In Working Capital",Data_dump!A:A,Data_dump!B:B)</f>
        <v>-5350000000</v>
      </c>
      <c r="D32" s="21">
        <f>D26*$C$20</f>
        <v>-1665937648.9222422</v>
      </c>
      <c r="E32" s="21">
        <f t="shared" ref="E32:H32" si="4">E26*$C$20</f>
        <v>-1915828296.2605784</v>
      </c>
      <c r="F32" s="21">
        <f t="shared" si="4"/>
        <v>-2203202540.6996651</v>
      </c>
      <c r="G32" s="21">
        <f t="shared" si="4"/>
        <v>-2533682921.8046145</v>
      </c>
      <c r="H32" s="21">
        <f t="shared" si="4"/>
        <v>-2913735360.0753059</v>
      </c>
    </row>
    <row r="33" spans="1:8" x14ac:dyDescent="0.35">
      <c r="A33" s="19" t="s">
        <v>211</v>
      </c>
      <c r="C33" s="21">
        <f>C28-C29+C30-C31-C32</f>
        <v>78785888000</v>
      </c>
      <c r="D33" s="21">
        <f t="shared" ref="D33:H33" si="5">D28-D29+D30-D31-D32</f>
        <v>89066174517.693436</v>
      </c>
      <c r="E33" s="21">
        <f t="shared" si="5"/>
        <v>102426100695.34749</v>
      </c>
      <c r="F33" s="21">
        <f t="shared" si="5"/>
        <v>117790015799.6496</v>
      </c>
      <c r="G33" s="21">
        <f t="shared" si="5"/>
        <v>135458518169.59702</v>
      </c>
      <c r="H33" s="21">
        <f t="shared" si="5"/>
        <v>155777295895.0365</v>
      </c>
    </row>
    <row r="34" spans="1:8" x14ac:dyDescent="0.35">
      <c r="A34" s="20" t="s">
        <v>210</v>
      </c>
      <c r="C34" s="21"/>
      <c r="D34" s="21"/>
      <c r="E34" s="21"/>
      <c r="F34" s="21"/>
      <c r="G34" s="21"/>
      <c r="H34" s="21">
        <f>(H33*(1+C8))/(C15-C8)</f>
        <v>2800152839985.2803</v>
      </c>
    </row>
    <row r="35" spans="1:8" x14ac:dyDescent="0.35">
      <c r="A35" s="20" t="s">
        <v>212</v>
      </c>
      <c r="C35" s="21"/>
      <c r="D35" s="21">
        <f t="shared" ref="D35:G35" si="6">SUM(D33:D34)</f>
        <v>89066174517.693436</v>
      </c>
      <c r="E35" s="21">
        <f t="shared" si="6"/>
        <v>102426100695.34749</v>
      </c>
      <c r="F35" s="21">
        <f t="shared" si="6"/>
        <v>117790015799.6496</v>
      </c>
      <c r="G35" s="21">
        <f t="shared" si="6"/>
        <v>135458518169.59702</v>
      </c>
      <c r="H35" s="21">
        <f>SUM(H33:H34)</f>
        <v>2955930135880.3169</v>
      </c>
    </row>
    <row r="36" spans="1:8" x14ac:dyDescent="0.35">
      <c r="A36" s="12"/>
    </row>
    <row r="37" spans="1:8" x14ac:dyDescent="0.35">
      <c r="A37" s="19" t="s">
        <v>213</v>
      </c>
      <c r="C37" s="22">
        <f>NPV(C15,D35:H35)</f>
        <v>2354631063443.6484</v>
      </c>
    </row>
    <row r="38" spans="1:8" x14ac:dyDescent="0.35">
      <c r="A38" s="8" t="s">
        <v>221</v>
      </c>
      <c r="C38" s="14">
        <f>_xlfn.XLOOKUP("Cash Cash Equivalents And Short Term Investments",Data_dump!A:A,Data_dump!B:B)</f>
        <v>94555000000</v>
      </c>
    </row>
    <row r="39" spans="1:8" x14ac:dyDescent="0.35">
      <c r="A39" s="8" t="s">
        <v>222</v>
      </c>
      <c r="C39" s="14">
        <f>_xlfn.XLOOKUP("Total Debt",Data_dump!A:A,Data_dump!B:B)</f>
        <v>60588000000</v>
      </c>
    </row>
    <row r="40" spans="1:8" x14ac:dyDescent="0.35">
      <c r="A40" s="20" t="s">
        <v>214</v>
      </c>
      <c r="C40" s="22">
        <f>C37+C38-C39</f>
        <v>2388598063443.6484</v>
      </c>
      <c r="D40" s="13"/>
    </row>
    <row r="41" spans="1:8" x14ac:dyDescent="0.35">
      <c r="A41" s="20"/>
      <c r="C41" s="22"/>
      <c r="D41" s="13"/>
    </row>
    <row r="42" spans="1:8" x14ac:dyDescent="0.35">
      <c r="A42" s="20" t="s">
        <v>215</v>
      </c>
      <c r="C42" s="14">
        <f>_xlfn.XLOOKUP("Ordinary Shares Number",Data_dump!A:A,Data_dump!B:B)</f>
        <v>7434158655</v>
      </c>
    </row>
    <row r="43" spans="1:8" x14ac:dyDescent="0.35">
      <c r="A43" s="20"/>
      <c r="C43" s="14"/>
    </row>
    <row r="44" spans="1:8" x14ac:dyDescent="0.35">
      <c r="A44" s="20" t="s">
        <v>216</v>
      </c>
      <c r="C44" s="13">
        <f>C40/C42</f>
        <v>321.30038842218499</v>
      </c>
    </row>
  </sheetData>
  <mergeCells count="3">
    <mergeCell ref="A1:H1"/>
    <mergeCell ref="A22:H22"/>
    <mergeCell ref="E7:H1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EF846-27AA-492F-9415-979C5D719F21}">
  <sheetPr codeName="Sheet1"/>
  <dimension ref="A1:L194"/>
  <sheetViews>
    <sheetView topLeftCell="A5" workbookViewId="0">
      <selection activeCell="A127" sqref="A127"/>
    </sheetView>
  </sheetViews>
  <sheetFormatPr defaultRowHeight="14.5" x14ac:dyDescent="0.35"/>
  <cols>
    <col min="1" max="1" width="23" customWidth="1"/>
    <col min="2" max="5" width="12.453125" bestFit="1" customWidth="1"/>
    <col min="6" max="6" width="11.81640625" bestFit="1" customWidth="1"/>
    <col min="9" max="9" width="17.1796875" bestFit="1" customWidth="1"/>
    <col min="10" max="10" width="26" customWidth="1"/>
    <col min="11" max="11" width="17.1796875" bestFit="1" customWidth="1"/>
  </cols>
  <sheetData>
    <row r="1" spans="1:12" x14ac:dyDescent="0.35">
      <c r="A1" t="s">
        <v>1</v>
      </c>
      <c r="K1" t="s">
        <v>116</v>
      </c>
    </row>
    <row r="2" spans="1:12" x14ac:dyDescent="0.35">
      <c r="B2" s="1">
        <v>45838</v>
      </c>
      <c r="C2" s="1">
        <v>45473</v>
      </c>
      <c r="D2" s="1">
        <v>45107</v>
      </c>
      <c r="E2" s="1">
        <v>44742</v>
      </c>
      <c r="F2" s="1"/>
      <c r="K2" t="s">
        <v>117</v>
      </c>
      <c r="L2">
        <v>2962173984768</v>
      </c>
    </row>
    <row r="3" spans="1:12" x14ac:dyDescent="0.35">
      <c r="A3" t="s">
        <v>2</v>
      </c>
      <c r="B3">
        <v>-77088000</v>
      </c>
      <c r="C3">
        <v>-99918000</v>
      </c>
      <c r="D3">
        <v>-2850000</v>
      </c>
      <c r="E3">
        <v>43754000</v>
      </c>
      <c r="K3" t="s">
        <v>41</v>
      </c>
      <c r="L3">
        <v>123278000128</v>
      </c>
    </row>
    <row r="4" spans="1:12" x14ac:dyDescent="0.35">
      <c r="A4" t="s">
        <v>3</v>
      </c>
      <c r="B4">
        <v>0.17599999999999999</v>
      </c>
      <c r="C4">
        <v>0.182</v>
      </c>
      <c r="D4">
        <v>0.19</v>
      </c>
      <c r="E4">
        <v>0.13100000000000001</v>
      </c>
      <c r="K4" t="s">
        <v>118</v>
      </c>
      <c r="L4">
        <v>1.1080000000000001</v>
      </c>
    </row>
    <row r="5" spans="1:12" x14ac:dyDescent="0.35">
      <c r="A5" t="s">
        <v>4</v>
      </c>
      <c r="B5">
        <v>160603000000</v>
      </c>
      <c r="C5">
        <v>133558000000</v>
      </c>
      <c r="D5">
        <v>105155000000</v>
      </c>
      <c r="E5">
        <v>99905000000</v>
      </c>
      <c r="K5" t="s">
        <v>119</v>
      </c>
      <c r="L5">
        <v>4.0479998588562015E-2</v>
      </c>
    </row>
    <row r="6" spans="1:12" x14ac:dyDescent="0.35">
      <c r="A6" t="s">
        <v>159</v>
      </c>
      <c r="B6">
        <v>-438000000</v>
      </c>
      <c r="C6">
        <v>-549000000</v>
      </c>
      <c r="D6">
        <v>-15000000</v>
      </c>
      <c r="E6">
        <v>334000000</v>
      </c>
      <c r="K6" t="s">
        <v>11</v>
      </c>
      <c r="L6">
        <v>2385000000</v>
      </c>
    </row>
    <row r="7" spans="1:12" x14ac:dyDescent="0.35">
      <c r="A7" t="s">
        <v>160</v>
      </c>
      <c r="B7">
        <v>-438000000</v>
      </c>
      <c r="C7">
        <v>-549000000</v>
      </c>
      <c r="D7">
        <v>-15000000</v>
      </c>
      <c r="E7">
        <v>334000000</v>
      </c>
    </row>
    <row r="8" spans="1:12" x14ac:dyDescent="0.35">
      <c r="A8" t="s">
        <v>5</v>
      </c>
      <c r="B8">
        <v>101832000000</v>
      </c>
      <c r="C8">
        <v>88136000000</v>
      </c>
      <c r="D8">
        <v>72361000000</v>
      </c>
      <c r="E8">
        <v>72738000000</v>
      </c>
    </row>
    <row r="9" spans="1:12" x14ac:dyDescent="0.35">
      <c r="A9" t="s">
        <v>6</v>
      </c>
      <c r="B9">
        <v>34153000000</v>
      </c>
      <c r="C9">
        <v>22287000000</v>
      </c>
      <c r="D9">
        <v>13861000000</v>
      </c>
      <c r="E9">
        <v>14460000000</v>
      </c>
    </row>
    <row r="10" spans="1:12" x14ac:dyDescent="0.35">
      <c r="A10" t="s">
        <v>7</v>
      </c>
      <c r="B10">
        <v>87831000000</v>
      </c>
      <c r="C10">
        <v>74114000000</v>
      </c>
      <c r="D10">
        <v>65863000000</v>
      </c>
      <c r="E10">
        <v>62650000000</v>
      </c>
    </row>
    <row r="11" spans="1:12" x14ac:dyDescent="0.35">
      <c r="A11" t="s">
        <v>8</v>
      </c>
      <c r="B11">
        <v>160165000000</v>
      </c>
      <c r="C11">
        <v>133009000000</v>
      </c>
      <c r="D11">
        <v>105140000000</v>
      </c>
      <c r="E11">
        <v>100239000000</v>
      </c>
    </row>
    <row r="12" spans="1:12" x14ac:dyDescent="0.35">
      <c r="A12" t="s">
        <v>9</v>
      </c>
      <c r="B12">
        <v>126012000000</v>
      </c>
      <c r="C12">
        <v>110722000000</v>
      </c>
      <c r="D12">
        <v>91279000000</v>
      </c>
      <c r="E12">
        <v>85779000000</v>
      </c>
    </row>
    <row r="13" spans="1:12" x14ac:dyDescent="0.35">
      <c r="A13" t="s">
        <v>10</v>
      </c>
      <c r="B13">
        <v>262000000</v>
      </c>
      <c r="C13">
        <v>222000000</v>
      </c>
      <c r="D13">
        <v>1026000000</v>
      </c>
      <c r="E13">
        <v>31000000</v>
      </c>
    </row>
    <row r="14" spans="1:12" x14ac:dyDescent="0.35">
      <c r="A14" t="s">
        <v>11</v>
      </c>
      <c r="B14">
        <v>2385000000</v>
      </c>
      <c r="C14">
        <v>2935000000</v>
      </c>
      <c r="D14">
        <v>1968000000</v>
      </c>
      <c r="E14">
        <v>2063000000</v>
      </c>
    </row>
    <row r="15" spans="1:12" x14ac:dyDescent="0.35">
      <c r="A15" t="s">
        <v>12</v>
      </c>
      <c r="B15">
        <v>2647000000</v>
      </c>
      <c r="C15">
        <v>3157000000</v>
      </c>
      <c r="D15">
        <v>2994000000</v>
      </c>
      <c r="E15">
        <v>2094000000</v>
      </c>
    </row>
    <row r="16" spans="1:12" x14ac:dyDescent="0.35">
      <c r="A16" t="s">
        <v>13</v>
      </c>
      <c r="B16">
        <v>102192912000</v>
      </c>
      <c r="C16">
        <v>88585082000</v>
      </c>
      <c r="D16">
        <v>72373150000</v>
      </c>
      <c r="E16">
        <v>72447754000</v>
      </c>
    </row>
    <row r="17" spans="1:5" x14ac:dyDescent="0.35">
      <c r="A17" t="s">
        <v>14</v>
      </c>
      <c r="B17">
        <v>101832000000</v>
      </c>
      <c r="C17">
        <v>88136000000</v>
      </c>
      <c r="D17">
        <v>72361000000</v>
      </c>
      <c r="E17">
        <v>72738000000</v>
      </c>
    </row>
    <row r="18" spans="1:5" x14ac:dyDescent="0.35">
      <c r="A18" t="s">
        <v>15</v>
      </c>
      <c r="B18">
        <v>153196000000</v>
      </c>
      <c r="C18">
        <v>135689000000</v>
      </c>
      <c r="D18">
        <v>123392000000</v>
      </c>
      <c r="E18">
        <v>114887000000</v>
      </c>
    </row>
    <row r="19" spans="1:5" x14ac:dyDescent="0.35">
      <c r="A19" t="s">
        <v>120</v>
      </c>
      <c r="B19">
        <v>128528000000</v>
      </c>
      <c r="C19">
        <v>109433000000</v>
      </c>
      <c r="D19">
        <v>88523000000</v>
      </c>
      <c r="E19">
        <v>83383000000</v>
      </c>
    </row>
    <row r="20" spans="1:5" x14ac:dyDescent="0.35">
      <c r="A20" t="s">
        <v>16</v>
      </c>
      <c r="B20">
        <v>7465000000</v>
      </c>
      <c r="C20">
        <v>7469000000</v>
      </c>
      <c r="D20">
        <v>7472000000</v>
      </c>
      <c r="E20">
        <v>7540000000</v>
      </c>
    </row>
    <row r="21" spans="1:5" x14ac:dyDescent="0.35">
      <c r="A21" t="s">
        <v>17</v>
      </c>
      <c r="B21">
        <v>7433000000</v>
      </c>
      <c r="C21">
        <v>7431000000</v>
      </c>
      <c r="D21">
        <v>7446000000</v>
      </c>
      <c r="E21">
        <v>7496000000</v>
      </c>
    </row>
    <row r="22" spans="1:5" x14ac:dyDescent="0.35">
      <c r="A22" t="s">
        <v>18</v>
      </c>
      <c r="B22">
        <v>13.64</v>
      </c>
      <c r="C22">
        <v>11.8</v>
      </c>
      <c r="D22">
        <v>9.68</v>
      </c>
      <c r="E22">
        <v>9.65</v>
      </c>
    </row>
    <row r="23" spans="1:5" x14ac:dyDescent="0.35">
      <c r="A23" t="s">
        <v>19</v>
      </c>
      <c r="B23">
        <v>13.7</v>
      </c>
      <c r="C23">
        <v>11.86</v>
      </c>
      <c r="D23">
        <v>9.7200000000000006</v>
      </c>
      <c r="E23">
        <v>9.6999999999999993</v>
      </c>
    </row>
    <row r="24" spans="1:5" x14ac:dyDescent="0.35">
      <c r="A24" t="s">
        <v>20</v>
      </c>
      <c r="B24">
        <v>101832000000</v>
      </c>
      <c r="C24">
        <v>88136000000</v>
      </c>
      <c r="D24">
        <v>72361000000</v>
      </c>
      <c r="E24">
        <v>72738000000</v>
      </c>
    </row>
    <row r="25" spans="1:5" x14ac:dyDescent="0.35">
      <c r="A25" t="s">
        <v>21</v>
      </c>
      <c r="B25">
        <v>101832000000</v>
      </c>
      <c r="C25">
        <v>88136000000</v>
      </c>
      <c r="D25">
        <v>72361000000</v>
      </c>
      <c r="E25">
        <v>72738000000</v>
      </c>
    </row>
    <row r="26" spans="1:5" x14ac:dyDescent="0.35">
      <c r="A26" t="s">
        <v>22</v>
      </c>
      <c r="B26">
        <v>101832000000</v>
      </c>
      <c r="C26">
        <v>88136000000</v>
      </c>
      <c r="D26">
        <v>72361000000</v>
      </c>
      <c r="E26">
        <v>72738000000</v>
      </c>
    </row>
    <row r="27" spans="1:5" x14ac:dyDescent="0.35">
      <c r="A27" t="s">
        <v>23</v>
      </c>
      <c r="B27">
        <v>101832000000</v>
      </c>
      <c r="C27">
        <v>88136000000</v>
      </c>
      <c r="D27">
        <v>72361000000</v>
      </c>
      <c r="E27">
        <v>72738000000</v>
      </c>
    </row>
    <row r="28" spans="1:5" x14ac:dyDescent="0.35">
      <c r="A28" t="s">
        <v>24</v>
      </c>
      <c r="B28">
        <v>101832000000</v>
      </c>
      <c r="C28">
        <v>88136000000</v>
      </c>
      <c r="D28">
        <v>72361000000</v>
      </c>
      <c r="E28">
        <v>72738000000</v>
      </c>
    </row>
    <row r="29" spans="1:5" x14ac:dyDescent="0.35">
      <c r="A29" t="s">
        <v>25</v>
      </c>
      <c r="B29">
        <v>21795000000</v>
      </c>
      <c r="C29">
        <v>19651000000</v>
      </c>
      <c r="D29">
        <v>16950000000</v>
      </c>
      <c r="E29">
        <v>10978000000</v>
      </c>
    </row>
    <row r="30" spans="1:5" x14ac:dyDescent="0.35">
      <c r="A30" t="s">
        <v>26</v>
      </c>
      <c r="B30">
        <v>123627000000</v>
      </c>
      <c r="C30">
        <v>107787000000</v>
      </c>
      <c r="D30">
        <v>89311000000</v>
      </c>
      <c r="E30">
        <v>83716000000</v>
      </c>
    </row>
    <row r="31" spans="1:5" x14ac:dyDescent="0.35">
      <c r="A31" t="s">
        <v>121</v>
      </c>
      <c r="B31">
        <v>-5163000000</v>
      </c>
      <c r="C31">
        <v>-1868000000</v>
      </c>
      <c r="D31">
        <v>-238000000</v>
      </c>
      <c r="E31">
        <v>302000000</v>
      </c>
    </row>
    <row r="32" spans="1:5" x14ac:dyDescent="0.35">
      <c r="A32" t="s">
        <v>122</v>
      </c>
      <c r="B32">
        <v>-4725000000</v>
      </c>
      <c r="C32">
        <v>-1319000000</v>
      </c>
      <c r="D32">
        <v>-223000000</v>
      </c>
      <c r="E32">
        <v>-32000000</v>
      </c>
    </row>
    <row r="33" spans="1:6" x14ac:dyDescent="0.35">
      <c r="A33" t="s">
        <v>161</v>
      </c>
      <c r="B33">
        <v>-943000000</v>
      </c>
      <c r="C33">
        <v>-206000000</v>
      </c>
      <c r="D33">
        <v>-30000000</v>
      </c>
      <c r="E33">
        <v>-101000000</v>
      </c>
    </row>
    <row r="34" spans="1:6" x14ac:dyDescent="0.35">
      <c r="A34" t="s">
        <v>162</v>
      </c>
      <c r="B34">
        <v>943000000</v>
      </c>
      <c r="C34">
        <v>206000000</v>
      </c>
      <c r="D34">
        <v>30000000</v>
      </c>
      <c r="E34">
        <v>101000000</v>
      </c>
    </row>
    <row r="35" spans="1:6" x14ac:dyDescent="0.35">
      <c r="A35" t="s">
        <v>163</v>
      </c>
      <c r="B35">
        <v>505000000</v>
      </c>
      <c r="C35">
        <v>-343000000</v>
      </c>
      <c r="D35">
        <v>15000000</v>
      </c>
      <c r="E35">
        <v>435000000</v>
      </c>
    </row>
    <row r="36" spans="1:6" x14ac:dyDescent="0.35">
      <c r="A36" t="s">
        <v>27</v>
      </c>
      <c r="B36">
        <v>262000000</v>
      </c>
      <c r="C36">
        <v>222000000</v>
      </c>
      <c r="D36">
        <v>1026000000</v>
      </c>
      <c r="E36">
        <v>31000000</v>
      </c>
    </row>
    <row r="37" spans="1:6" x14ac:dyDescent="0.35">
      <c r="A37" t="s">
        <v>28</v>
      </c>
      <c r="B37">
        <v>2385000000</v>
      </c>
      <c r="C37">
        <v>2935000000</v>
      </c>
      <c r="D37">
        <v>1968000000</v>
      </c>
      <c r="E37">
        <v>2063000000</v>
      </c>
    </row>
    <row r="38" spans="1:6" x14ac:dyDescent="0.35">
      <c r="A38" t="s">
        <v>29</v>
      </c>
      <c r="B38">
        <v>2647000000</v>
      </c>
      <c r="C38">
        <v>3157000000</v>
      </c>
      <c r="D38">
        <v>2994000000</v>
      </c>
      <c r="E38">
        <v>2094000000</v>
      </c>
    </row>
    <row r="39" spans="1:6" x14ac:dyDescent="0.35">
      <c r="A39" t="s">
        <v>30</v>
      </c>
      <c r="B39">
        <v>128528000000</v>
      </c>
      <c r="C39">
        <v>109433000000</v>
      </c>
      <c r="D39">
        <v>88523000000</v>
      </c>
      <c r="E39">
        <v>83383000000</v>
      </c>
    </row>
    <row r="40" spans="1:6" x14ac:dyDescent="0.35">
      <c r="A40" t="s">
        <v>31</v>
      </c>
      <c r="B40">
        <v>65365000000</v>
      </c>
      <c r="C40">
        <v>61575000000</v>
      </c>
      <c r="D40">
        <v>57529000000</v>
      </c>
      <c r="E40">
        <v>52237000000</v>
      </c>
    </row>
    <row r="41" spans="1:6" x14ac:dyDescent="0.35">
      <c r="A41" t="s">
        <v>123</v>
      </c>
      <c r="B41">
        <v>32488000000</v>
      </c>
      <c r="C41">
        <v>29510000000</v>
      </c>
      <c r="D41">
        <v>27195000000</v>
      </c>
      <c r="E41">
        <v>24512000000</v>
      </c>
    </row>
    <row r="42" spans="1:6" x14ac:dyDescent="0.35">
      <c r="A42" t="s">
        <v>32</v>
      </c>
      <c r="B42">
        <v>32877000000</v>
      </c>
      <c r="C42">
        <v>32065000000</v>
      </c>
      <c r="D42">
        <v>30334000000</v>
      </c>
      <c r="E42">
        <v>27725000000</v>
      </c>
    </row>
    <row r="43" spans="1:6" x14ac:dyDescent="0.35">
      <c r="A43" t="s">
        <v>164</v>
      </c>
      <c r="B43">
        <v>25654000000</v>
      </c>
      <c r="C43">
        <v>24456000000</v>
      </c>
      <c r="D43">
        <v>22759000000</v>
      </c>
      <c r="E43">
        <v>21825000000</v>
      </c>
    </row>
    <row r="44" spans="1:6" x14ac:dyDescent="0.35">
      <c r="A44" t="s">
        <v>165</v>
      </c>
      <c r="B44">
        <v>7223000000</v>
      </c>
      <c r="C44">
        <v>7609000000</v>
      </c>
      <c r="D44">
        <v>7575000000</v>
      </c>
      <c r="E44">
        <v>5900000000</v>
      </c>
    </row>
    <row r="45" spans="1:6" x14ac:dyDescent="0.35">
      <c r="A45" t="s">
        <v>166</v>
      </c>
      <c r="B45" s="1">
        <v>7223000000</v>
      </c>
      <c r="C45" s="1">
        <v>7609000000</v>
      </c>
      <c r="D45" s="1">
        <v>7575000000</v>
      </c>
      <c r="E45" s="1">
        <v>5900000000</v>
      </c>
      <c r="F45" s="1"/>
    </row>
    <row r="46" spans="1:6" x14ac:dyDescent="0.35">
      <c r="A46" t="s">
        <v>33</v>
      </c>
      <c r="B46">
        <v>193893000000</v>
      </c>
      <c r="C46">
        <v>171008000000</v>
      </c>
      <c r="D46">
        <v>146052000000</v>
      </c>
      <c r="E46">
        <v>135620000000</v>
      </c>
    </row>
    <row r="47" spans="1:6" x14ac:dyDescent="0.35">
      <c r="A47" t="s">
        <v>34</v>
      </c>
      <c r="B47">
        <v>87831000000</v>
      </c>
      <c r="C47">
        <v>74114000000</v>
      </c>
      <c r="D47">
        <v>65863000000</v>
      </c>
      <c r="E47">
        <v>62650000000</v>
      </c>
    </row>
    <row r="48" spans="1:6" x14ac:dyDescent="0.35">
      <c r="A48" t="s">
        <v>35</v>
      </c>
      <c r="B48">
        <v>281724000000</v>
      </c>
      <c r="C48">
        <v>245122000000</v>
      </c>
      <c r="D48">
        <v>211915000000</v>
      </c>
      <c r="E48">
        <v>198270000000</v>
      </c>
    </row>
    <row r="49" spans="1:6" x14ac:dyDescent="0.35">
      <c r="A49" t="s">
        <v>36</v>
      </c>
      <c r="B49">
        <v>281724000000</v>
      </c>
      <c r="C49">
        <v>245122000000</v>
      </c>
      <c r="D49">
        <v>211915000000</v>
      </c>
      <c r="E49">
        <v>198270000000</v>
      </c>
    </row>
    <row r="52" spans="1:6" x14ac:dyDescent="0.35">
      <c r="A52" t="s">
        <v>37</v>
      </c>
    </row>
    <row r="53" spans="1:6" x14ac:dyDescent="0.35">
      <c r="B53" s="1">
        <v>45838</v>
      </c>
      <c r="C53" s="1">
        <v>45473</v>
      </c>
      <c r="D53" s="1">
        <v>45107</v>
      </c>
      <c r="E53" s="1">
        <v>44742</v>
      </c>
      <c r="F53" s="1">
        <v>44377</v>
      </c>
    </row>
    <row r="54" spans="1:6" x14ac:dyDescent="0.35">
      <c r="A54" t="s">
        <v>38</v>
      </c>
      <c r="B54" s="1">
        <v>7434158655</v>
      </c>
      <c r="C54" s="1">
        <v>7434138859</v>
      </c>
      <c r="D54" s="1">
        <v>7432000000</v>
      </c>
      <c r="E54" s="1">
        <v>7464000000</v>
      </c>
      <c r="F54" s="1"/>
    </row>
    <row r="55" spans="1:6" x14ac:dyDescent="0.35">
      <c r="A55" t="s">
        <v>39</v>
      </c>
      <c r="B55">
        <v>7434158655</v>
      </c>
      <c r="C55">
        <v>7434138859</v>
      </c>
      <c r="D55">
        <v>7432000000</v>
      </c>
      <c r="E55">
        <v>7464000000</v>
      </c>
    </row>
    <row r="56" spans="1:6" x14ac:dyDescent="0.35">
      <c r="A56" t="s">
        <v>40</v>
      </c>
      <c r="B56">
        <v>12909000000</v>
      </c>
      <c r="C56">
        <v>33315000000</v>
      </c>
      <c r="D56">
        <v>12533000000</v>
      </c>
      <c r="E56">
        <v>35850000000</v>
      </c>
    </row>
    <row r="57" spans="1:6" x14ac:dyDescent="0.35">
      <c r="A57" t="s">
        <v>41</v>
      </c>
      <c r="B57">
        <v>60588000000</v>
      </c>
      <c r="C57">
        <v>67127000000</v>
      </c>
      <c r="D57">
        <v>59965000000</v>
      </c>
      <c r="E57">
        <v>61270000000</v>
      </c>
    </row>
    <row r="58" spans="1:6" x14ac:dyDescent="0.35">
      <c r="A58" t="s">
        <v>42</v>
      </c>
      <c r="B58">
        <v>201366000000</v>
      </c>
      <c r="C58">
        <v>121660000000</v>
      </c>
      <c r="D58">
        <v>128971000000</v>
      </c>
      <c r="E58">
        <v>87720000000</v>
      </c>
    </row>
    <row r="59" spans="1:6" x14ac:dyDescent="0.35">
      <c r="A59" t="s">
        <v>43</v>
      </c>
      <c r="B59">
        <v>386630000000</v>
      </c>
      <c r="C59">
        <v>320107000000</v>
      </c>
      <c r="D59">
        <v>253460000000</v>
      </c>
      <c r="E59">
        <v>216323000000</v>
      </c>
    </row>
    <row r="60" spans="1:6" x14ac:dyDescent="0.35">
      <c r="A60" t="s">
        <v>44</v>
      </c>
      <c r="B60">
        <v>49913000000</v>
      </c>
      <c r="C60">
        <v>34448000000</v>
      </c>
      <c r="D60">
        <v>80108000000</v>
      </c>
      <c r="E60">
        <v>74602000000</v>
      </c>
    </row>
    <row r="61" spans="1:6" x14ac:dyDescent="0.35">
      <c r="A61" t="s">
        <v>45</v>
      </c>
      <c r="B61">
        <v>201366000000</v>
      </c>
      <c r="C61">
        <v>121660000000</v>
      </c>
      <c r="D61">
        <v>128971000000</v>
      </c>
      <c r="E61">
        <v>87720000000</v>
      </c>
    </row>
    <row r="62" spans="1:6" x14ac:dyDescent="0.35">
      <c r="A62" t="s">
        <v>46</v>
      </c>
      <c r="B62">
        <v>17437000000</v>
      </c>
      <c r="C62">
        <v>15497000000</v>
      </c>
      <c r="D62">
        <v>12728000000</v>
      </c>
      <c r="E62">
        <v>11489000000</v>
      </c>
    </row>
    <row r="63" spans="1:6" x14ac:dyDescent="0.35">
      <c r="A63" t="s">
        <v>47</v>
      </c>
      <c r="B63">
        <v>343479000000</v>
      </c>
      <c r="C63">
        <v>268477000000</v>
      </c>
      <c r="D63">
        <v>206223000000</v>
      </c>
      <c r="E63">
        <v>166542000000</v>
      </c>
    </row>
    <row r="64" spans="1:6" x14ac:dyDescent="0.35">
      <c r="A64" t="s">
        <v>48</v>
      </c>
      <c r="B64">
        <v>383631000000</v>
      </c>
      <c r="C64">
        <v>311165000000</v>
      </c>
      <c r="D64">
        <v>248213000000</v>
      </c>
      <c r="E64">
        <v>213574000000</v>
      </c>
    </row>
    <row r="65" spans="1:5" x14ac:dyDescent="0.35">
      <c r="A65" t="s">
        <v>49</v>
      </c>
      <c r="B65">
        <v>343479000000</v>
      </c>
      <c r="C65">
        <v>268477000000</v>
      </c>
      <c r="D65">
        <v>206223000000</v>
      </c>
      <c r="E65">
        <v>166542000000</v>
      </c>
    </row>
    <row r="66" spans="1:5" x14ac:dyDescent="0.35">
      <c r="A66" t="s">
        <v>50</v>
      </c>
      <c r="B66">
        <v>343479000000</v>
      </c>
      <c r="C66">
        <v>268477000000</v>
      </c>
      <c r="D66">
        <v>206223000000</v>
      </c>
      <c r="E66">
        <v>166542000000</v>
      </c>
    </row>
    <row r="67" spans="1:5" x14ac:dyDescent="0.35">
      <c r="A67" t="s">
        <v>124</v>
      </c>
      <c r="B67">
        <v>-3347000000</v>
      </c>
      <c r="C67">
        <v>-5590000000</v>
      </c>
      <c r="D67">
        <v>-6343000000</v>
      </c>
      <c r="E67">
        <v>-4678000000</v>
      </c>
    </row>
    <row r="68" spans="1:5" x14ac:dyDescent="0.35">
      <c r="A68" t="s">
        <v>125</v>
      </c>
      <c r="B68">
        <v>-3347000000</v>
      </c>
      <c r="C68">
        <v>-5590000000</v>
      </c>
      <c r="D68">
        <v>-6343000000</v>
      </c>
      <c r="E68">
        <v>-4678000000</v>
      </c>
    </row>
    <row r="69" spans="1:5" x14ac:dyDescent="0.35">
      <c r="A69" t="s">
        <v>51</v>
      </c>
      <c r="B69">
        <v>237731000000</v>
      </c>
      <c r="C69">
        <v>173144000000</v>
      </c>
      <c r="D69">
        <v>118848000000</v>
      </c>
      <c r="E69">
        <v>84281000000</v>
      </c>
    </row>
    <row r="70" spans="1:5" x14ac:dyDescent="0.35">
      <c r="A70" t="s">
        <v>52</v>
      </c>
      <c r="B70">
        <v>109095000000</v>
      </c>
      <c r="C70">
        <v>100923000000</v>
      </c>
      <c r="D70">
        <v>93718000000</v>
      </c>
      <c r="E70">
        <v>86939000000</v>
      </c>
    </row>
    <row r="71" spans="1:5" x14ac:dyDescent="0.35">
      <c r="A71" t="s">
        <v>53</v>
      </c>
      <c r="B71">
        <v>109095000000</v>
      </c>
      <c r="C71">
        <v>100923000000</v>
      </c>
      <c r="D71">
        <v>93718000000</v>
      </c>
      <c r="E71">
        <v>86939000000</v>
      </c>
    </row>
    <row r="72" spans="1:5" x14ac:dyDescent="0.35">
      <c r="A72" t="s">
        <v>54</v>
      </c>
      <c r="B72">
        <v>275524000000</v>
      </c>
      <c r="C72">
        <v>243686000000</v>
      </c>
      <c r="D72">
        <v>205753000000</v>
      </c>
      <c r="E72">
        <v>198298000000</v>
      </c>
    </row>
    <row r="73" spans="1:5" x14ac:dyDescent="0.35">
      <c r="A73" t="s">
        <v>55</v>
      </c>
      <c r="B73">
        <v>134306000000</v>
      </c>
      <c r="C73">
        <v>118400000000</v>
      </c>
      <c r="D73">
        <v>101604000000</v>
      </c>
      <c r="E73">
        <v>103216000000</v>
      </c>
    </row>
    <row r="74" spans="1:5" x14ac:dyDescent="0.35">
      <c r="A74" t="s">
        <v>126</v>
      </c>
      <c r="B74">
        <v>45186000000</v>
      </c>
      <c r="C74">
        <v>27064000000</v>
      </c>
      <c r="D74">
        <v>17981000000</v>
      </c>
      <c r="E74">
        <v>15526000000</v>
      </c>
    </row>
    <row r="75" spans="1:5" x14ac:dyDescent="0.35">
      <c r="A75" t="s">
        <v>56</v>
      </c>
      <c r="B75">
        <v>25986000000</v>
      </c>
      <c r="C75">
        <v>27931000000</v>
      </c>
      <c r="D75">
        <v>25560000000</v>
      </c>
      <c r="E75">
        <v>26069000000</v>
      </c>
    </row>
    <row r="76" spans="1:5" x14ac:dyDescent="0.35">
      <c r="A76" t="s">
        <v>167</v>
      </c>
      <c r="B76">
        <v>5545000000</v>
      </c>
      <c r="C76">
        <v>5220000000</v>
      </c>
      <c r="D76">
        <v>3345000000</v>
      </c>
      <c r="E76">
        <v>3100000000</v>
      </c>
    </row>
    <row r="77" spans="1:5" x14ac:dyDescent="0.35">
      <c r="A77" t="s">
        <v>168</v>
      </c>
      <c r="B77">
        <v>2710000000</v>
      </c>
      <c r="C77">
        <v>2602000000</v>
      </c>
      <c r="D77">
        <v>2912000000</v>
      </c>
      <c r="E77">
        <v>2870000000</v>
      </c>
    </row>
    <row r="78" spans="1:5" x14ac:dyDescent="0.35">
      <c r="A78" t="s">
        <v>169</v>
      </c>
      <c r="B78">
        <v>2835000000</v>
      </c>
      <c r="C78">
        <v>2618000000</v>
      </c>
      <c r="D78">
        <v>433000000</v>
      </c>
      <c r="E78">
        <v>230000000</v>
      </c>
    </row>
    <row r="79" spans="1:5" x14ac:dyDescent="0.35">
      <c r="A79" t="s">
        <v>57</v>
      </c>
      <c r="B79">
        <v>57589000000</v>
      </c>
      <c r="C79">
        <v>58185000000</v>
      </c>
      <c r="D79">
        <v>54718000000</v>
      </c>
      <c r="E79">
        <v>58521000000</v>
      </c>
    </row>
    <row r="80" spans="1:5" x14ac:dyDescent="0.35">
      <c r="A80" t="s">
        <v>58</v>
      </c>
      <c r="B80">
        <v>17437000000</v>
      </c>
      <c r="C80">
        <v>15497000000</v>
      </c>
      <c r="D80">
        <v>12728000000</v>
      </c>
      <c r="E80">
        <v>11489000000</v>
      </c>
    </row>
    <row r="81" spans="1:5" x14ac:dyDescent="0.35">
      <c r="A81" t="s">
        <v>59</v>
      </c>
      <c r="B81">
        <v>40152000000</v>
      </c>
      <c r="C81">
        <v>42688000000</v>
      </c>
      <c r="D81">
        <v>41990000000</v>
      </c>
      <c r="E81">
        <v>47032000000</v>
      </c>
    </row>
    <row r="82" spans="1:5" x14ac:dyDescent="0.35">
      <c r="A82" t="s">
        <v>60</v>
      </c>
      <c r="B82">
        <v>141218000000</v>
      </c>
      <c r="C82">
        <v>125286000000</v>
      </c>
      <c r="D82">
        <v>104149000000</v>
      </c>
      <c r="E82">
        <v>95082000000</v>
      </c>
    </row>
    <row r="83" spans="1:5" x14ac:dyDescent="0.35">
      <c r="A83" t="s">
        <v>127</v>
      </c>
      <c r="B83">
        <v>25020000000</v>
      </c>
      <c r="C83">
        <v>19185000000</v>
      </c>
      <c r="D83">
        <v>14745000000</v>
      </c>
      <c r="E83">
        <v>13067000000</v>
      </c>
    </row>
    <row r="84" spans="1:5" x14ac:dyDescent="0.35">
      <c r="A84" t="s">
        <v>128</v>
      </c>
      <c r="B84">
        <v>64555000000</v>
      </c>
      <c r="C84">
        <v>57582000000</v>
      </c>
      <c r="D84">
        <v>50901000000</v>
      </c>
      <c r="E84">
        <v>45538000000</v>
      </c>
    </row>
    <row r="85" spans="1:5" x14ac:dyDescent="0.35">
      <c r="A85" t="s">
        <v>129</v>
      </c>
      <c r="B85">
        <v>64555000000</v>
      </c>
      <c r="C85">
        <v>57582000000</v>
      </c>
      <c r="D85">
        <v>50901000000</v>
      </c>
      <c r="E85">
        <v>45538000000</v>
      </c>
    </row>
    <row r="86" spans="1:5" x14ac:dyDescent="0.35">
      <c r="A86" t="s">
        <v>61</v>
      </c>
      <c r="B86">
        <v>2999000000</v>
      </c>
      <c r="C86">
        <v>8942000000</v>
      </c>
      <c r="D86">
        <v>5247000000</v>
      </c>
      <c r="E86">
        <v>2749000000</v>
      </c>
    </row>
    <row r="87" spans="1:5" x14ac:dyDescent="0.35">
      <c r="A87" t="s">
        <v>62</v>
      </c>
      <c r="B87">
        <v>2999000000</v>
      </c>
      <c r="C87">
        <v>8942000000</v>
      </c>
      <c r="D87">
        <v>5247000000</v>
      </c>
      <c r="E87">
        <v>2749000000</v>
      </c>
    </row>
    <row r="88" spans="1:5" x14ac:dyDescent="0.35">
      <c r="A88" t="s">
        <v>130</v>
      </c>
      <c r="B88">
        <v>2999000000</v>
      </c>
      <c r="C88">
        <v>2249000000</v>
      </c>
      <c r="D88">
        <v>5247000000</v>
      </c>
    </row>
    <row r="89" spans="1:5" x14ac:dyDescent="0.35">
      <c r="A89" t="s">
        <v>131</v>
      </c>
      <c r="B89">
        <v>0</v>
      </c>
      <c r="C89">
        <v>6693000000</v>
      </c>
      <c r="D89">
        <v>0</v>
      </c>
    </row>
    <row r="90" spans="1:5" x14ac:dyDescent="0.35">
      <c r="A90" t="s">
        <v>170</v>
      </c>
      <c r="B90">
        <v>13709000000</v>
      </c>
      <c r="C90">
        <v>12564000000</v>
      </c>
      <c r="D90">
        <v>11009000000</v>
      </c>
      <c r="E90">
        <v>10661000000</v>
      </c>
    </row>
    <row r="91" spans="1:5" x14ac:dyDescent="0.35">
      <c r="A91" t="s">
        <v>132</v>
      </c>
      <c r="B91">
        <v>34935000000</v>
      </c>
      <c r="C91">
        <v>27013000000</v>
      </c>
      <c r="D91">
        <v>22247000000</v>
      </c>
      <c r="E91">
        <v>23067000000</v>
      </c>
    </row>
    <row r="92" spans="1:5" x14ac:dyDescent="0.35">
      <c r="A92" t="s">
        <v>63</v>
      </c>
      <c r="B92">
        <v>34935000000</v>
      </c>
      <c r="C92">
        <v>27013000000</v>
      </c>
      <c r="D92">
        <v>22247000000</v>
      </c>
      <c r="E92">
        <v>23067000000</v>
      </c>
    </row>
    <row r="93" spans="1:5" x14ac:dyDescent="0.35">
      <c r="A93" t="s">
        <v>64</v>
      </c>
      <c r="B93">
        <v>7211000000</v>
      </c>
      <c r="C93">
        <v>5017000000</v>
      </c>
      <c r="D93">
        <v>4152000000</v>
      </c>
      <c r="E93">
        <v>4067000000</v>
      </c>
    </row>
    <row r="94" spans="1:5" x14ac:dyDescent="0.35">
      <c r="A94" t="s">
        <v>133</v>
      </c>
      <c r="B94">
        <v>7211000000</v>
      </c>
      <c r="C94">
        <v>5017000000</v>
      </c>
      <c r="D94">
        <v>4152000000</v>
      </c>
      <c r="E94">
        <v>4067000000</v>
      </c>
    </row>
    <row r="95" spans="1:5" x14ac:dyDescent="0.35">
      <c r="A95" t="s">
        <v>65</v>
      </c>
      <c r="B95">
        <v>27724000000</v>
      </c>
      <c r="C95">
        <v>21996000000</v>
      </c>
      <c r="D95">
        <v>18095000000</v>
      </c>
      <c r="E95">
        <v>19000000000</v>
      </c>
    </row>
    <row r="96" spans="1:5" x14ac:dyDescent="0.35">
      <c r="A96" t="s">
        <v>66</v>
      </c>
      <c r="B96">
        <v>619003000000</v>
      </c>
      <c r="C96">
        <v>512163000000</v>
      </c>
      <c r="D96">
        <v>411976000000</v>
      </c>
      <c r="E96">
        <v>364840000000</v>
      </c>
    </row>
    <row r="97" spans="1:5" x14ac:dyDescent="0.35">
      <c r="A97" t="s">
        <v>67</v>
      </c>
      <c r="B97">
        <v>427872000000</v>
      </c>
      <c r="C97">
        <v>352429000000</v>
      </c>
      <c r="D97">
        <v>227719000000</v>
      </c>
      <c r="E97">
        <v>195156000000</v>
      </c>
    </row>
    <row r="98" spans="1:5" x14ac:dyDescent="0.35">
      <c r="A98" t="s">
        <v>134</v>
      </c>
      <c r="B98">
        <v>40565000000</v>
      </c>
      <c r="C98">
        <v>36460000000</v>
      </c>
      <c r="D98">
        <v>30601000000</v>
      </c>
      <c r="E98">
        <v>21897000000</v>
      </c>
    </row>
    <row r="99" spans="1:5" x14ac:dyDescent="0.35">
      <c r="A99" t="s">
        <v>183</v>
      </c>
      <c r="B99">
        <v>272000000</v>
      </c>
      <c r="C99">
        <v>0</v>
      </c>
      <c r="D99">
        <v>0</v>
      </c>
      <c r="E99">
        <v>0</v>
      </c>
    </row>
    <row r="100" spans="1:5" x14ac:dyDescent="0.35">
      <c r="A100" t="s">
        <v>135</v>
      </c>
      <c r="B100">
        <v>15133000000</v>
      </c>
      <c r="C100">
        <v>14600000000</v>
      </c>
      <c r="D100">
        <v>9879000000</v>
      </c>
      <c r="E100">
        <v>6891000000</v>
      </c>
    </row>
    <row r="101" spans="1:5" x14ac:dyDescent="0.35">
      <c r="A101" t="s">
        <v>68</v>
      </c>
      <c r="B101">
        <v>2460000000</v>
      </c>
      <c r="C101">
        <v>1500000000</v>
      </c>
      <c r="D101">
        <v>0</v>
      </c>
      <c r="E101">
        <v>0</v>
      </c>
    </row>
    <row r="102" spans="1:5" x14ac:dyDescent="0.35">
      <c r="A102" t="s">
        <v>69</v>
      </c>
      <c r="B102">
        <v>2460000000</v>
      </c>
      <c r="C102">
        <v>1500000000</v>
      </c>
    </row>
    <row r="103" spans="1:5" x14ac:dyDescent="0.35">
      <c r="A103" t="s">
        <v>184</v>
      </c>
      <c r="B103">
        <v>12673000000</v>
      </c>
      <c r="C103">
        <v>13100000000</v>
      </c>
      <c r="D103">
        <v>9879000000</v>
      </c>
      <c r="E103">
        <v>6891000000</v>
      </c>
    </row>
    <row r="104" spans="1:5" x14ac:dyDescent="0.35">
      <c r="A104" t="s">
        <v>171</v>
      </c>
      <c r="B104">
        <v>142113000000</v>
      </c>
      <c r="C104">
        <v>146817000000</v>
      </c>
      <c r="D104">
        <v>77252000000</v>
      </c>
      <c r="E104">
        <v>78822000000</v>
      </c>
    </row>
    <row r="105" spans="1:5" x14ac:dyDescent="0.35">
      <c r="A105" t="s">
        <v>172</v>
      </c>
      <c r="B105">
        <v>22604000000</v>
      </c>
      <c r="C105">
        <v>27597000000</v>
      </c>
      <c r="D105">
        <v>9366000000</v>
      </c>
      <c r="E105">
        <v>11298000000</v>
      </c>
    </row>
    <row r="106" spans="1:5" x14ac:dyDescent="0.35">
      <c r="A106" t="s">
        <v>173</v>
      </c>
      <c r="B106">
        <v>119509000000</v>
      </c>
      <c r="C106">
        <v>119220000000</v>
      </c>
      <c r="D106">
        <v>67886000000</v>
      </c>
      <c r="E106">
        <v>67524000000</v>
      </c>
    </row>
    <row r="107" spans="1:5" x14ac:dyDescent="0.35">
      <c r="A107" t="s">
        <v>70</v>
      </c>
      <c r="B107">
        <v>229789000000</v>
      </c>
      <c r="C107">
        <v>154552000000</v>
      </c>
      <c r="D107">
        <v>109987000000</v>
      </c>
      <c r="E107">
        <v>87546000000</v>
      </c>
    </row>
    <row r="108" spans="1:5" x14ac:dyDescent="0.35">
      <c r="A108" t="s">
        <v>71</v>
      </c>
      <c r="B108">
        <v>-93653000000</v>
      </c>
      <c r="C108">
        <v>-76421000000</v>
      </c>
      <c r="D108">
        <v>-68251000000</v>
      </c>
      <c r="E108">
        <v>-59660000000</v>
      </c>
    </row>
    <row r="109" spans="1:5" x14ac:dyDescent="0.35">
      <c r="A109" t="s">
        <v>72</v>
      </c>
      <c r="B109">
        <v>323442000000</v>
      </c>
      <c r="C109">
        <v>230973000000</v>
      </c>
      <c r="D109">
        <v>178238000000</v>
      </c>
      <c r="E109">
        <v>147206000000</v>
      </c>
    </row>
    <row r="110" spans="1:5" x14ac:dyDescent="0.35">
      <c r="A110" t="s">
        <v>136</v>
      </c>
      <c r="B110">
        <v>12117000000</v>
      </c>
      <c r="C110">
        <v>9594000000</v>
      </c>
      <c r="D110">
        <v>8537000000</v>
      </c>
      <c r="E110">
        <v>7819000000</v>
      </c>
    </row>
    <row r="111" spans="1:5" x14ac:dyDescent="0.35">
      <c r="A111" t="s">
        <v>73</v>
      </c>
      <c r="B111">
        <v>24823000000</v>
      </c>
      <c r="C111">
        <v>18961000000</v>
      </c>
      <c r="D111">
        <v>14346000000</v>
      </c>
      <c r="E111">
        <v>13148000000</v>
      </c>
    </row>
    <row r="112" spans="1:5" x14ac:dyDescent="0.35">
      <c r="A112" t="s">
        <v>74</v>
      </c>
      <c r="B112">
        <v>139243000000</v>
      </c>
      <c r="C112">
        <v>100312000000</v>
      </c>
      <c r="D112">
        <v>81207000000</v>
      </c>
      <c r="E112">
        <v>66491000000</v>
      </c>
    </row>
    <row r="113" spans="1:6" x14ac:dyDescent="0.35">
      <c r="A113" t="s">
        <v>174</v>
      </c>
      <c r="B113">
        <v>137921000000</v>
      </c>
      <c r="C113">
        <v>93943000000</v>
      </c>
      <c r="D113">
        <v>68465000000</v>
      </c>
      <c r="E113">
        <v>55014000000</v>
      </c>
    </row>
    <row r="114" spans="1:6" x14ac:dyDescent="0.35">
      <c r="A114" t="s">
        <v>75</v>
      </c>
      <c r="B114">
        <v>9338000000</v>
      </c>
      <c r="C114">
        <v>8163000000</v>
      </c>
      <c r="D114">
        <v>5683000000</v>
      </c>
      <c r="E114">
        <v>4734000000</v>
      </c>
    </row>
    <row r="115" spans="1:6" x14ac:dyDescent="0.35">
      <c r="A115" t="s">
        <v>76</v>
      </c>
      <c r="B115">
        <v>0</v>
      </c>
      <c r="C115">
        <v>0</v>
      </c>
      <c r="D115">
        <v>0</v>
      </c>
      <c r="E115">
        <v>0</v>
      </c>
    </row>
    <row r="116" spans="1:6" x14ac:dyDescent="0.35">
      <c r="A116" t="s">
        <v>77</v>
      </c>
      <c r="B116">
        <v>191131000000</v>
      </c>
      <c r="C116">
        <v>159734000000</v>
      </c>
      <c r="D116">
        <v>184257000000</v>
      </c>
      <c r="E116">
        <v>169684000000</v>
      </c>
    </row>
    <row r="117" spans="1:6" x14ac:dyDescent="0.35">
      <c r="A117" t="s">
        <v>137</v>
      </c>
      <c r="B117">
        <v>25723000000</v>
      </c>
      <c r="C117">
        <v>26021000000</v>
      </c>
      <c r="D117">
        <v>21807000000</v>
      </c>
      <c r="E117">
        <v>16924000000</v>
      </c>
    </row>
    <row r="118" spans="1:6" x14ac:dyDescent="0.35">
      <c r="A118" t="s">
        <v>185</v>
      </c>
      <c r="B118" s="1">
        <v>10000000</v>
      </c>
      <c r="C118" s="1">
        <v>12000000</v>
      </c>
      <c r="D118" s="1">
        <v>6000000</v>
      </c>
      <c r="E118" s="1">
        <v>8000000</v>
      </c>
      <c r="F118" s="1"/>
    </row>
    <row r="119" spans="1:6" x14ac:dyDescent="0.35">
      <c r="A119" t="s">
        <v>78</v>
      </c>
      <c r="B119">
        <v>938000000</v>
      </c>
      <c r="C119">
        <v>1246000000</v>
      </c>
      <c r="D119">
        <v>2500000000</v>
      </c>
      <c r="E119">
        <v>3742000000</v>
      </c>
    </row>
    <row r="120" spans="1:6" x14ac:dyDescent="0.35">
      <c r="A120" t="s">
        <v>186</v>
      </c>
      <c r="C120">
        <v>845000000</v>
      </c>
      <c r="D120">
        <v>1768000000</v>
      </c>
      <c r="E120">
        <v>2516000000</v>
      </c>
      <c r="F120">
        <v>1367000000</v>
      </c>
    </row>
    <row r="121" spans="1:6" x14ac:dyDescent="0.35">
      <c r="A121" t="s">
        <v>187</v>
      </c>
      <c r="C121">
        <v>7000000</v>
      </c>
      <c r="D121">
        <v>23000000</v>
      </c>
      <c r="E121">
        <v>82000000</v>
      </c>
      <c r="F121">
        <v>79000000</v>
      </c>
    </row>
    <row r="122" spans="1:6" x14ac:dyDescent="0.35">
      <c r="A122" t="s">
        <v>188</v>
      </c>
      <c r="C122">
        <v>394000000</v>
      </c>
      <c r="D122">
        <v>709000000</v>
      </c>
      <c r="E122">
        <v>1144000000</v>
      </c>
      <c r="F122">
        <v>1190000000</v>
      </c>
    </row>
    <row r="123" spans="1:6" x14ac:dyDescent="0.35">
      <c r="A123" t="s">
        <v>138</v>
      </c>
      <c r="B123">
        <v>69905000000</v>
      </c>
      <c r="C123">
        <v>56924000000</v>
      </c>
      <c r="D123">
        <v>48688000000</v>
      </c>
      <c r="E123">
        <v>44261000000</v>
      </c>
    </row>
    <row r="124" spans="1:6" x14ac:dyDescent="0.35">
      <c r="A124" t="s">
        <v>79</v>
      </c>
      <c r="B124">
        <v>69905000000</v>
      </c>
      <c r="C124">
        <v>56924000000</v>
      </c>
      <c r="D124">
        <v>48688000000</v>
      </c>
      <c r="E124">
        <v>44261000000</v>
      </c>
    </row>
    <row r="125" spans="1:6" x14ac:dyDescent="0.35">
      <c r="A125" t="s">
        <v>175</v>
      </c>
      <c r="B125">
        <v>-944000000</v>
      </c>
      <c r="C125">
        <v>-830000000</v>
      </c>
      <c r="D125">
        <v>-650000000</v>
      </c>
      <c r="E125">
        <v>-633000000</v>
      </c>
    </row>
    <row r="126" spans="1:6" x14ac:dyDescent="0.35">
      <c r="A126" t="s">
        <v>176</v>
      </c>
      <c r="B126">
        <v>70849000000</v>
      </c>
      <c r="C126">
        <v>57754000000</v>
      </c>
      <c r="D126">
        <v>49338000000</v>
      </c>
      <c r="E126">
        <v>44894000000</v>
      </c>
    </row>
    <row r="127" spans="1:6" x14ac:dyDescent="0.35">
      <c r="A127" t="s">
        <v>80</v>
      </c>
      <c r="B127">
        <v>94555000000</v>
      </c>
      <c r="C127">
        <v>75531000000</v>
      </c>
      <c r="D127">
        <v>111256000000</v>
      </c>
      <c r="E127">
        <v>104749000000</v>
      </c>
    </row>
    <row r="128" spans="1:6" x14ac:dyDescent="0.35">
      <c r="A128" t="s">
        <v>81</v>
      </c>
      <c r="B128">
        <v>64313000000</v>
      </c>
      <c r="C128">
        <v>57216000000</v>
      </c>
      <c r="D128">
        <v>76552000000</v>
      </c>
      <c r="E128">
        <v>90818000000</v>
      </c>
    </row>
    <row r="129" spans="1:6" x14ac:dyDescent="0.35">
      <c r="A129" t="s">
        <v>82</v>
      </c>
      <c r="B129">
        <v>30242000000</v>
      </c>
      <c r="C129">
        <v>18315000000</v>
      </c>
      <c r="D129">
        <v>34704000000</v>
      </c>
      <c r="E129">
        <v>13931000000</v>
      </c>
    </row>
    <row r="130" spans="1:6" x14ac:dyDescent="0.35">
      <c r="A130" t="s">
        <v>139</v>
      </c>
      <c r="B130">
        <v>18531000000</v>
      </c>
      <c r="C130">
        <v>6744000000</v>
      </c>
      <c r="D130">
        <v>26226000000</v>
      </c>
      <c r="E130">
        <v>5673000000</v>
      </c>
    </row>
    <row r="131" spans="1:6" x14ac:dyDescent="0.35">
      <c r="A131" t="s">
        <v>140</v>
      </c>
      <c r="B131">
        <v>11711000000</v>
      </c>
      <c r="C131">
        <v>11571000000</v>
      </c>
      <c r="D131">
        <v>8478000000</v>
      </c>
      <c r="E131">
        <v>8258000000</v>
      </c>
    </row>
    <row r="134" spans="1:6" x14ac:dyDescent="0.35">
      <c r="A134" t="s">
        <v>83</v>
      </c>
      <c r="B134" s="1"/>
      <c r="C134" s="1"/>
      <c r="D134" s="1"/>
      <c r="E134" s="1"/>
      <c r="F134" s="1"/>
    </row>
    <row r="135" spans="1:6" x14ac:dyDescent="0.35">
      <c r="B135" s="1">
        <v>45838</v>
      </c>
      <c r="C135" s="1">
        <v>45473</v>
      </c>
      <c r="D135" s="1">
        <v>45107</v>
      </c>
      <c r="E135" s="1">
        <v>44742</v>
      </c>
      <c r="F135" s="1">
        <v>44377</v>
      </c>
    </row>
    <row r="136" spans="1:6" x14ac:dyDescent="0.35">
      <c r="A136" t="s">
        <v>84</v>
      </c>
      <c r="B136">
        <v>71611000000</v>
      </c>
      <c r="C136">
        <v>74071000000</v>
      </c>
      <c r="D136">
        <v>59475000000</v>
      </c>
      <c r="E136">
        <v>65149000000</v>
      </c>
    </row>
    <row r="137" spans="1:6" x14ac:dyDescent="0.35">
      <c r="A137" t="s">
        <v>85</v>
      </c>
      <c r="B137">
        <v>-18420000000</v>
      </c>
      <c r="C137">
        <v>-17254000000</v>
      </c>
      <c r="D137">
        <v>-22245000000</v>
      </c>
      <c r="E137">
        <v>-32696000000</v>
      </c>
    </row>
    <row r="138" spans="1:6" x14ac:dyDescent="0.35">
      <c r="A138" t="s">
        <v>86</v>
      </c>
      <c r="B138">
        <v>-3216000000</v>
      </c>
      <c r="C138">
        <v>-29070000000</v>
      </c>
      <c r="D138">
        <v>-2750000000</v>
      </c>
      <c r="E138">
        <v>-9023000000</v>
      </c>
    </row>
    <row r="139" spans="1:6" x14ac:dyDescent="0.35">
      <c r="A139" t="s">
        <v>87</v>
      </c>
      <c r="B139" s="1">
        <v>0</v>
      </c>
      <c r="C139" s="1">
        <v>24395000000</v>
      </c>
      <c r="D139" s="1">
        <v>0</v>
      </c>
      <c r="E139" s="1">
        <v>0</v>
      </c>
      <c r="F139" s="1"/>
    </row>
    <row r="140" spans="1:6" x14ac:dyDescent="0.35">
      <c r="A140" t="s">
        <v>141</v>
      </c>
      <c r="B140">
        <v>2056000000</v>
      </c>
      <c r="C140">
        <v>2002000000</v>
      </c>
      <c r="D140">
        <v>1866000000</v>
      </c>
      <c r="E140">
        <v>1841000000</v>
      </c>
    </row>
    <row r="141" spans="1:6" x14ac:dyDescent="0.35">
      <c r="A141" t="s">
        <v>88</v>
      </c>
      <c r="B141">
        <v>-64551000000</v>
      </c>
      <c r="C141">
        <v>-44477000000</v>
      </c>
      <c r="D141">
        <v>-28107000000</v>
      </c>
      <c r="E141">
        <v>-23886000000</v>
      </c>
    </row>
    <row r="142" spans="1:6" x14ac:dyDescent="0.35">
      <c r="A142" t="s">
        <v>89</v>
      </c>
      <c r="B142">
        <v>30242000000</v>
      </c>
      <c r="C142">
        <v>18315000000</v>
      </c>
      <c r="D142">
        <v>34704000000</v>
      </c>
      <c r="E142">
        <v>13931000000</v>
      </c>
    </row>
    <row r="143" spans="1:6" x14ac:dyDescent="0.35">
      <c r="A143" t="s">
        <v>90</v>
      </c>
      <c r="B143">
        <v>18315000000</v>
      </c>
      <c r="C143">
        <v>34704000000</v>
      </c>
      <c r="D143">
        <v>13931000000</v>
      </c>
      <c r="E143">
        <v>14224000000</v>
      </c>
    </row>
    <row r="144" spans="1:6" x14ac:dyDescent="0.35">
      <c r="A144" t="s">
        <v>177</v>
      </c>
      <c r="B144">
        <v>63000000</v>
      </c>
      <c r="C144">
        <v>-210000000</v>
      </c>
      <c r="D144">
        <v>-194000000</v>
      </c>
      <c r="E144">
        <v>-141000000</v>
      </c>
    </row>
    <row r="145" spans="1:5" x14ac:dyDescent="0.35">
      <c r="A145" t="s">
        <v>91</v>
      </c>
      <c r="B145">
        <v>11864000000</v>
      </c>
      <c r="C145">
        <v>-16179000000</v>
      </c>
      <c r="D145">
        <v>20967000000</v>
      </c>
      <c r="E145">
        <v>-152000000</v>
      </c>
    </row>
    <row r="146" spans="1:5" x14ac:dyDescent="0.35">
      <c r="A146" t="s">
        <v>92</v>
      </c>
      <c r="B146">
        <v>-51699000000</v>
      </c>
      <c r="C146">
        <v>-37757000000</v>
      </c>
      <c r="D146">
        <v>-43935000000</v>
      </c>
      <c r="E146">
        <v>-58876000000</v>
      </c>
    </row>
    <row r="147" spans="1:5" x14ac:dyDescent="0.35">
      <c r="A147" t="s">
        <v>142</v>
      </c>
      <c r="B147">
        <v>-51699000000</v>
      </c>
      <c r="C147">
        <v>-37757000000</v>
      </c>
      <c r="D147">
        <v>-43935000000</v>
      </c>
      <c r="E147">
        <v>-58876000000</v>
      </c>
    </row>
    <row r="148" spans="1:5" x14ac:dyDescent="0.35">
      <c r="A148" t="s">
        <v>93</v>
      </c>
      <c r="B148">
        <v>-2291000000</v>
      </c>
      <c r="C148">
        <v>-1309000000</v>
      </c>
      <c r="D148">
        <v>-1006000000</v>
      </c>
      <c r="E148">
        <v>-863000000</v>
      </c>
    </row>
    <row r="149" spans="1:5" x14ac:dyDescent="0.35">
      <c r="A149" t="s">
        <v>94</v>
      </c>
      <c r="B149">
        <v>-24082000000</v>
      </c>
      <c r="C149">
        <v>-21771000000</v>
      </c>
      <c r="D149">
        <v>-19800000000</v>
      </c>
      <c r="E149">
        <v>-18135000000</v>
      </c>
    </row>
    <row r="150" spans="1:5" x14ac:dyDescent="0.35">
      <c r="A150" t="s">
        <v>95</v>
      </c>
      <c r="B150">
        <v>-24082000000</v>
      </c>
      <c r="C150">
        <v>-21771000000</v>
      </c>
      <c r="D150">
        <v>-19800000000</v>
      </c>
      <c r="E150">
        <v>-18135000000</v>
      </c>
    </row>
    <row r="151" spans="1:5" x14ac:dyDescent="0.35">
      <c r="A151" t="s">
        <v>96</v>
      </c>
      <c r="B151">
        <v>-16364000000</v>
      </c>
      <c r="C151">
        <v>-15252000000</v>
      </c>
      <c r="D151">
        <v>-20379000000</v>
      </c>
      <c r="E151">
        <v>-30855000000</v>
      </c>
    </row>
    <row r="152" spans="1:5" x14ac:dyDescent="0.35">
      <c r="A152" t="s">
        <v>97</v>
      </c>
      <c r="B152">
        <v>-18420000000</v>
      </c>
      <c r="C152">
        <v>-17254000000</v>
      </c>
      <c r="D152">
        <v>-22245000000</v>
      </c>
      <c r="E152">
        <v>-32696000000</v>
      </c>
    </row>
    <row r="153" spans="1:5" x14ac:dyDescent="0.35">
      <c r="A153" t="s">
        <v>143</v>
      </c>
      <c r="B153">
        <v>2056000000</v>
      </c>
      <c r="C153">
        <v>2002000000</v>
      </c>
      <c r="D153">
        <v>1866000000</v>
      </c>
      <c r="E153">
        <v>1841000000</v>
      </c>
    </row>
    <row r="154" spans="1:5" x14ac:dyDescent="0.35">
      <c r="A154" t="s">
        <v>98</v>
      </c>
      <c r="B154">
        <v>-8962000000</v>
      </c>
      <c r="C154">
        <v>575000000</v>
      </c>
      <c r="D154">
        <v>-2750000000</v>
      </c>
      <c r="E154">
        <v>-9023000000</v>
      </c>
    </row>
    <row r="155" spans="1:5" x14ac:dyDescent="0.35">
      <c r="A155" t="s">
        <v>99</v>
      </c>
      <c r="B155">
        <v>-5746000000</v>
      </c>
      <c r="C155">
        <v>5250000000</v>
      </c>
      <c r="D155">
        <v>0</v>
      </c>
      <c r="E155">
        <v>0</v>
      </c>
    </row>
    <row r="156" spans="1:5" x14ac:dyDescent="0.35">
      <c r="A156" t="s">
        <v>189</v>
      </c>
      <c r="C156">
        <v>5250000000</v>
      </c>
      <c r="D156">
        <v>0</v>
      </c>
      <c r="E156">
        <v>0</v>
      </c>
    </row>
    <row r="157" spans="1:5" x14ac:dyDescent="0.35">
      <c r="A157" t="s">
        <v>100</v>
      </c>
      <c r="B157">
        <v>-3216000000</v>
      </c>
      <c r="C157">
        <v>-4675000000</v>
      </c>
      <c r="D157">
        <v>-2750000000</v>
      </c>
      <c r="E157">
        <v>-9023000000</v>
      </c>
    </row>
    <row r="158" spans="1:5" x14ac:dyDescent="0.35">
      <c r="A158" t="s">
        <v>101</v>
      </c>
      <c r="B158">
        <v>-3216000000</v>
      </c>
      <c r="C158">
        <v>-29070000000</v>
      </c>
      <c r="D158">
        <v>-2750000000</v>
      </c>
      <c r="E158">
        <v>-9023000000</v>
      </c>
    </row>
    <row r="159" spans="1:5" x14ac:dyDescent="0.35">
      <c r="A159" t="s">
        <v>102</v>
      </c>
      <c r="B159">
        <v>0</v>
      </c>
      <c r="C159">
        <v>24395000000</v>
      </c>
      <c r="D159">
        <v>0</v>
      </c>
      <c r="E159">
        <v>0</v>
      </c>
    </row>
    <row r="160" spans="1:5" x14ac:dyDescent="0.35">
      <c r="A160" t="s">
        <v>103</v>
      </c>
      <c r="B160">
        <v>-72599000000</v>
      </c>
      <c r="C160">
        <v>-96970000000</v>
      </c>
      <c r="D160">
        <v>-22680000000</v>
      </c>
      <c r="E160">
        <v>-30311000000</v>
      </c>
    </row>
    <row r="161" spans="1:5" x14ac:dyDescent="0.35">
      <c r="A161" t="s">
        <v>144</v>
      </c>
      <c r="B161">
        <v>-72599000000</v>
      </c>
      <c r="C161">
        <v>-96970000000</v>
      </c>
      <c r="D161">
        <v>-22680000000</v>
      </c>
      <c r="E161">
        <v>-30311000000</v>
      </c>
    </row>
    <row r="162" spans="1:5" x14ac:dyDescent="0.35">
      <c r="A162" t="s">
        <v>145</v>
      </c>
      <c r="B162">
        <v>2317000000</v>
      </c>
      <c r="C162">
        <v>-1298000000</v>
      </c>
      <c r="D162">
        <v>-3116000000</v>
      </c>
      <c r="E162">
        <v>-2825000000</v>
      </c>
    </row>
    <row r="163" spans="1:5" x14ac:dyDescent="0.35">
      <c r="A163" t="s">
        <v>146</v>
      </c>
      <c r="B163">
        <v>-4387000000</v>
      </c>
      <c r="C163">
        <v>17937000000</v>
      </c>
      <c r="D163">
        <v>10213000000</v>
      </c>
      <c r="E163">
        <v>18438000000</v>
      </c>
    </row>
    <row r="164" spans="1:5" x14ac:dyDescent="0.35">
      <c r="A164" t="s">
        <v>147</v>
      </c>
      <c r="B164">
        <v>25388000000</v>
      </c>
      <c r="C164">
        <v>35669000000</v>
      </c>
      <c r="D164">
        <v>47864000000</v>
      </c>
      <c r="E164">
        <v>44894000000</v>
      </c>
    </row>
    <row r="165" spans="1:5" x14ac:dyDescent="0.35">
      <c r="A165" t="s">
        <v>148</v>
      </c>
      <c r="B165">
        <v>-29775000000</v>
      </c>
      <c r="C165">
        <v>-17732000000</v>
      </c>
      <c r="D165">
        <v>-37651000000</v>
      </c>
      <c r="E165">
        <v>-26456000000</v>
      </c>
    </row>
    <row r="166" spans="1:5" x14ac:dyDescent="0.35">
      <c r="A166" t="s">
        <v>104</v>
      </c>
      <c r="B166">
        <v>-5978000000</v>
      </c>
      <c r="C166">
        <v>-69132000000</v>
      </c>
      <c r="D166">
        <v>-1670000000</v>
      </c>
      <c r="E166">
        <v>-22038000000</v>
      </c>
    </row>
    <row r="167" spans="1:5" x14ac:dyDescent="0.35">
      <c r="A167" t="s">
        <v>105</v>
      </c>
      <c r="B167">
        <v>-5978000000</v>
      </c>
      <c r="C167">
        <v>-69132000000</v>
      </c>
      <c r="D167">
        <v>-1670000000</v>
      </c>
      <c r="E167">
        <v>-22038000000</v>
      </c>
    </row>
    <row r="168" spans="1:5" x14ac:dyDescent="0.35">
      <c r="A168" t="s">
        <v>106</v>
      </c>
      <c r="B168">
        <v>-64551000000</v>
      </c>
      <c r="C168">
        <v>-44477000000</v>
      </c>
      <c r="D168">
        <v>-28107000000</v>
      </c>
      <c r="E168">
        <v>-23886000000</v>
      </c>
    </row>
    <row r="169" spans="1:5" x14ac:dyDescent="0.35">
      <c r="A169" t="s">
        <v>107</v>
      </c>
      <c r="B169">
        <v>-64551000000</v>
      </c>
      <c r="C169">
        <v>-44477000000</v>
      </c>
      <c r="D169">
        <v>-28107000000</v>
      </c>
      <c r="E169">
        <v>-23886000000</v>
      </c>
    </row>
    <row r="170" spans="1:5" x14ac:dyDescent="0.35">
      <c r="A170" t="s">
        <v>108</v>
      </c>
      <c r="B170">
        <v>136162000000</v>
      </c>
      <c r="C170">
        <v>118548000000</v>
      </c>
      <c r="D170">
        <v>87582000000</v>
      </c>
      <c r="E170">
        <v>89035000000</v>
      </c>
    </row>
    <row r="171" spans="1:5" x14ac:dyDescent="0.35">
      <c r="A171" t="s">
        <v>149</v>
      </c>
      <c r="B171">
        <v>136162000000</v>
      </c>
      <c r="C171">
        <v>118548000000</v>
      </c>
      <c r="D171">
        <v>87582000000</v>
      </c>
      <c r="E171">
        <v>89035000000</v>
      </c>
    </row>
    <row r="172" spans="1:5" x14ac:dyDescent="0.35">
      <c r="A172" t="s">
        <v>109</v>
      </c>
      <c r="B172">
        <v>-5350000000</v>
      </c>
      <c r="C172">
        <v>1824000000</v>
      </c>
      <c r="D172">
        <v>-2388000000</v>
      </c>
      <c r="E172">
        <v>446000000</v>
      </c>
    </row>
    <row r="173" spans="1:5" x14ac:dyDescent="0.35">
      <c r="A173" t="s">
        <v>150</v>
      </c>
      <c r="B173">
        <v>5400000000</v>
      </c>
      <c r="C173">
        <v>7035000000</v>
      </c>
      <c r="D173">
        <v>5177000000</v>
      </c>
      <c r="E173">
        <v>5805000000</v>
      </c>
    </row>
    <row r="174" spans="1:5" x14ac:dyDescent="0.35">
      <c r="A174" t="s">
        <v>110</v>
      </c>
      <c r="B174">
        <v>4947000000</v>
      </c>
      <c r="C174">
        <v>5616000000</v>
      </c>
      <c r="D174">
        <v>2825000000</v>
      </c>
      <c r="E174">
        <v>3169000000</v>
      </c>
    </row>
    <row r="175" spans="1:5" x14ac:dyDescent="0.35">
      <c r="A175" t="s">
        <v>111</v>
      </c>
      <c r="B175">
        <v>-5994000000</v>
      </c>
      <c r="C175">
        <v>-8465000000</v>
      </c>
      <c r="D175">
        <v>-4824000000</v>
      </c>
      <c r="E175">
        <v>-3514000000</v>
      </c>
    </row>
    <row r="176" spans="1:5" x14ac:dyDescent="0.35">
      <c r="A176" t="s">
        <v>151</v>
      </c>
      <c r="B176">
        <v>569000000</v>
      </c>
      <c r="C176">
        <v>3545000000</v>
      </c>
      <c r="D176">
        <v>-2721000000</v>
      </c>
      <c r="E176">
        <v>2943000000</v>
      </c>
    </row>
    <row r="177" spans="1:6" x14ac:dyDescent="0.35">
      <c r="A177" t="s">
        <v>152</v>
      </c>
      <c r="B177">
        <v>569000000</v>
      </c>
      <c r="C177">
        <v>3545000000</v>
      </c>
      <c r="D177">
        <v>-2721000000</v>
      </c>
      <c r="E177">
        <v>2943000000</v>
      </c>
    </row>
    <row r="178" spans="1:6" x14ac:dyDescent="0.35">
      <c r="A178" t="s">
        <v>153</v>
      </c>
      <c r="B178">
        <v>569000000</v>
      </c>
      <c r="C178">
        <v>3545000000</v>
      </c>
      <c r="D178">
        <v>-2721000000</v>
      </c>
      <c r="E178">
        <v>2943000000</v>
      </c>
    </row>
    <row r="179" spans="1:6" x14ac:dyDescent="0.35">
      <c r="A179" t="s">
        <v>190</v>
      </c>
      <c r="C179">
        <v>1687000000</v>
      </c>
      <c r="D179">
        <v>-358000000</v>
      </c>
      <c r="E179">
        <v>696000000</v>
      </c>
      <c r="F179">
        <v>-2309000000</v>
      </c>
    </row>
    <row r="180" spans="1:6" x14ac:dyDescent="0.35">
      <c r="A180" t="s">
        <v>191</v>
      </c>
      <c r="C180">
        <v>1687000000</v>
      </c>
      <c r="D180">
        <v>-358000000</v>
      </c>
      <c r="E180">
        <v>696000000</v>
      </c>
      <c r="F180">
        <v>-2309000000</v>
      </c>
    </row>
    <row r="181" spans="1:6" x14ac:dyDescent="0.35">
      <c r="A181" t="s">
        <v>112</v>
      </c>
      <c r="B181">
        <v>309000000</v>
      </c>
      <c r="C181">
        <v>1284000000</v>
      </c>
      <c r="D181">
        <v>1242000000</v>
      </c>
      <c r="E181">
        <v>-1123000000</v>
      </c>
    </row>
    <row r="182" spans="1:6" x14ac:dyDescent="0.35">
      <c r="A182" t="s">
        <v>154</v>
      </c>
      <c r="B182">
        <v>-10581000000</v>
      </c>
      <c r="C182">
        <v>-7191000000</v>
      </c>
      <c r="D182">
        <v>-4087000000</v>
      </c>
      <c r="E182">
        <v>-6834000000</v>
      </c>
    </row>
    <row r="183" spans="1:6" x14ac:dyDescent="0.35">
      <c r="A183" t="s">
        <v>155</v>
      </c>
      <c r="B183">
        <v>-10581000000</v>
      </c>
      <c r="C183">
        <v>-7191000000</v>
      </c>
      <c r="D183">
        <v>-4087000000</v>
      </c>
      <c r="E183">
        <v>-6834000000</v>
      </c>
    </row>
    <row r="184" spans="1:6" x14ac:dyDescent="0.35">
      <c r="A184" t="s">
        <v>113</v>
      </c>
      <c r="B184">
        <v>11974000000</v>
      </c>
      <c r="C184">
        <v>10734000000</v>
      </c>
      <c r="D184">
        <v>9611000000</v>
      </c>
      <c r="E184">
        <v>7502000000</v>
      </c>
    </row>
    <row r="185" spans="1:6" x14ac:dyDescent="0.35">
      <c r="A185" t="s">
        <v>192</v>
      </c>
      <c r="B185">
        <v>-536000000</v>
      </c>
      <c r="C185">
        <v>-146000000</v>
      </c>
      <c r="D185">
        <v>-303000000</v>
      </c>
      <c r="E185">
        <v>-509000000</v>
      </c>
    </row>
    <row r="186" spans="1:6" x14ac:dyDescent="0.35">
      <c r="A186" t="s">
        <v>193</v>
      </c>
      <c r="B186">
        <v>943000000</v>
      </c>
      <c r="C186">
        <v>206000000</v>
      </c>
      <c r="D186">
        <v>30000000</v>
      </c>
      <c r="E186">
        <v>101000000</v>
      </c>
    </row>
    <row r="187" spans="1:6" x14ac:dyDescent="0.35">
      <c r="A187" t="s">
        <v>156</v>
      </c>
      <c r="B187">
        <v>-7056000000</v>
      </c>
      <c r="C187">
        <v>-4738000000</v>
      </c>
      <c r="D187">
        <v>-6059000000</v>
      </c>
      <c r="E187">
        <v>-5702000000</v>
      </c>
    </row>
    <row r="188" spans="1:6" x14ac:dyDescent="0.35">
      <c r="A188" t="s">
        <v>157</v>
      </c>
      <c r="B188">
        <v>-7056000000</v>
      </c>
      <c r="C188">
        <v>-4738000000</v>
      </c>
      <c r="D188">
        <v>-6059000000</v>
      </c>
      <c r="E188">
        <v>-5702000000</v>
      </c>
    </row>
    <row r="189" spans="1:6" x14ac:dyDescent="0.35">
      <c r="A189" t="s">
        <v>158</v>
      </c>
      <c r="B189">
        <v>34153000000</v>
      </c>
      <c r="C189">
        <v>22287000000</v>
      </c>
      <c r="D189">
        <v>13861000000</v>
      </c>
      <c r="E189">
        <v>14460000000</v>
      </c>
    </row>
    <row r="190" spans="1:6" x14ac:dyDescent="0.35">
      <c r="A190" t="s">
        <v>114</v>
      </c>
      <c r="B190">
        <v>34153000000</v>
      </c>
      <c r="C190">
        <v>22287000000</v>
      </c>
      <c r="D190">
        <v>13861000000</v>
      </c>
      <c r="E190">
        <v>14460000000</v>
      </c>
    </row>
    <row r="191" spans="1:6" x14ac:dyDescent="0.35">
      <c r="A191" t="s">
        <v>178</v>
      </c>
      <c r="B191">
        <v>34153000000</v>
      </c>
      <c r="C191">
        <v>22287000000</v>
      </c>
      <c r="D191">
        <v>13861000000</v>
      </c>
      <c r="E191">
        <v>14460000000</v>
      </c>
    </row>
    <row r="192" spans="1:6" x14ac:dyDescent="0.35">
      <c r="A192" t="s">
        <v>179</v>
      </c>
      <c r="B192">
        <v>202000000</v>
      </c>
      <c r="C192">
        <v>245000000</v>
      </c>
      <c r="D192">
        <v>469000000</v>
      </c>
      <c r="E192">
        <v>-1000000</v>
      </c>
    </row>
    <row r="193" spans="1:5" x14ac:dyDescent="0.35">
      <c r="A193" t="s">
        <v>180</v>
      </c>
      <c r="B193">
        <v>202000000</v>
      </c>
      <c r="C193">
        <v>245000000</v>
      </c>
      <c r="D193">
        <v>469000000</v>
      </c>
      <c r="E193">
        <v>-1000000</v>
      </c>
    </row>
    <row r="194" spans="1:5" x14ac:dyDescent="0.35">
      <c r="A194" t="s">
        <v>115</v>
      </c>
      <c r="B194">
        <v>101832000000</v>
      </c>
      <c r="C194">
        <v>88136000000</v>
      </c>
      <c r="D194">
        <v>72361000000</v>
      </c>
      <c r="E194">
        <v>72738000000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Dashboard</vt:lpstr>
      <vt:lpstr>Calculations</vt:lpstr>
      <vt:lpstr>Data_dump</vt:lpstr>
      <vt:lpstr>Rev_growth_rate</vt:lpstr>
      <vt:lpstr>Scenario_selection</vt:lpstr>
      <vt:lpstr>Terminal_growth_rate</vt:lpstr>
      <vt:lpstr>Ticker_input</vt:lpstr>
      <vt:lpstr>Ticker_symbol</vt:lpstr>
      <vt:lpstr>WACC_Adj</vt:lpstr>
      <vt:lpstr>WACC_adjustment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 Tran</dc:creator>
  <cp:lastModifiedBy>Mai Tran</cp:lastModifiedBy>
  <dcterms:created xsi:type="dcterms:W3CDTF">2026-03-03T07:23:13Z</dcterms:created>
  <dcterms:modified xsi:type="dcterms:W3CDTF">2026-03-03T17:13:37Z</dcterms:modified>
</cp:coreProperties>
</file>